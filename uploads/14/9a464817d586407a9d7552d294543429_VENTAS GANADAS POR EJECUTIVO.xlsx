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LICITACIONES PUBLICAS 2026\VENTAS\"/>
    </mc:Choice>
  </mc:AlternateContent>
  <bookViews>
    <workbookView xWindow="0" yWindow="0" windowWidth="20490" windowHeight="6630" activeTab="2"/>
  </bookViews>
  <sheets>
    <sheet name="KARIM" sheetId="1" r:id="rId1"/>
    <sheet name="CINTHIA" sheetId="5" r:id="rId2"/>
    <sheet name="JOSE" sheetId="4" r:id="rId3"/>
    <sheet name="CARLOS" sheetId="2" r:id="rId4"/>
    <sheet name="EDUARDO" sheetId="3" r:id="rId5"/>
    <sheet name="FERNANDO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" i="6" l="1"/>
  <c r="F16" i="6"/>
  <c r="C16" i="6"/>
  <c r="I16" i="5"/>
  <c r="F16" i="5"/>
  <c r="C16" i="5"/>
  <c r="I16" i="4"/>
  <c r="F16" i="4"/>
  <c r="C16" i="4"/>
  <c r="F16" i="3"/>
  <c r="C16" i="3"/>
  <c r="C16" i="2"/>
  <c r="F16" i="2"/>
  <c r="I16" i="1"/>
  <c r="F16" i="1"/>
  <c r="C16" i="1"/>
</calcChain>
</file>

<file path=xl/sharedStrings.xml><?xml version="1.0" encoding="utf-8"?>
<sst xmlns="http://schemas.openxmlformats.org/spreadsheetml/2006/main" count="240" uniqueCount="52">
  <si>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</si>
  <si>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</si>
  <si>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</si>
  <si>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</si>
  <si>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</si>
  <si>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</si>
  <si>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</si>
  <si>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</si>
  <si>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</si>
  <si>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</si>
  <si>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 xml:space="preserve">NOVIEMBRE </t>
  </si>
  <si>
    <t>DICIEMBRE</t>
  </si>
  <si>
    <t>BANCO DE CREDITO DEL PERÚ</t>
  </si>
  <si>
    <t>ELECTRONORTE</t>
  </si>
  <si>
    <t>HIDRANDINA S.A.</t>
  </si>
  <si>
    <t>SCOTIABANK</t>
  </si>
  <si>
    <t>BANCO DE CREDITO DEL PERU</t>
  </si>
  <si>
    <t>INVERSIONES NACIONALES DE TURISMO</t>
  </si>
  <si>
    <t>UNIVERSIDAD NACIONAL DEL ALTIPLANO</t>
  </si>
  <si>
    <t>DIRECCIÓN REGIONAL DE AGRICULTURA DE LIMA</t>
  </si>
  <si>
    <t>MIDAGRI</t>
  </si>
  <si>
    <t>UNIVERSIDAD NACIONAL AGRARIA LA MOLINA</t>
  </si>
  <si>
    <t>COLEGIO SANTA MARIA MARIANISTA</t>
  </si>
  <si>
    <t>ADIUM (TECNOFARMA)</t>
  </si>
  <si>
    <t>ISAAC NEWTON E.I.R.L./KAARIS EMPRESAS E.I.R.L</t>
  </si>
  <si>
    <t>LIWILU</t>
  </si>
  <si>
    <t>SERVICIO NACIONAL DE SANIDAD AGRARIA</t>
  </si>
  <si>
    <t>CMAC CUSCO</t>
  </si>
  <si>
    <t>DIRECCIÓN GENERAL DE ELECTRIFICACION RURAL</t>
  </si>
  <si>
    <t>G4S DEL PERU</t>
  </si>
  <si>
    <t>SENATI</t>
  </si>
  <si>
    <t>CARMELITAS/GRUPO FALABELLA</t>
  </si>
  <si>
    <t>GRUPO FALABELLLA</t>
  </si>
  <si>
    <t>PROVIAS DESCENTRALIZADO</t>
  </si>
  <si>
    <t>SAT / CORTE AREQUIPA</t>
  </si>
  <si>
    <t>SEDAPAL/CONSORCIO CAROLINA</t>
  </si>
  <si>
    <t>INS / DIRECCIÓN DE  DE LA PNP</t>
  </si>
  <si>
    <t>CORTE DE LIMA/INEI/CONSORCIO CAROLINA</t>
  </si>
  <si>
    <t>CONSORCIO CAROLINA/ENERGIA Y MINAS</t>
  </si>
  <si>
    <t>MINISTERIO DE LA PRODUCCIÓN</t>
  </si>
  <si>
    <t>CORTE SAN MARTIN/ CORTE PASCO/CORTE JUNIN/ZONA REGISTRAL</t>
  </si>
  <si>
    <t>CONSORCIO CAROLINA/CORTE PUNO</t>
  </si>
  <si>
    <t>CORTE DE VENTANILLA</t>
  </si>
  <si>
    <t>SEDAPAR/ZONA REGISTRAL/MINIST. ECONOMIA</t>
  </si>
  <si>
    <t>DIRIS LIMA ESTE</t>
  </si>
  <si>
    <t>UNIVERSIDAD SAN AGUSTIN</t>
  </si>
  <si>
    <t>BCP (CASACAS)</t>
  </si>
  <si>
    <t>BCP(DENIM, ABRIGOS)</t>
  </si>
  <si>
    <t>SCOTIABANK (ARM. KITS)</t>
  </si>
  <si>
    <t>ELECTROCENTRO</t>
  </si>
  <si>
    <t>TALE INMOBILIARIA</t>
  </si>
  <si>
    <t>UNIV. NAC. DEL ALTIPLANO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</si>
</sst>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4" fontId="1" fillId="0" borderId="1" xfId="0" applyNumberFormat="1" applyFont="1" applyBorder="1"/>
    <xf numFmtId="4" fontId="0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0" fillId="0" borderId="4" xfId="0" applyBorder="1"/>
    <xf numFmtId="0" fontId="0" fillId="0" borderId="6" xfId="0" applyBorder="1"/>
    <xf numFmtId="0" fontId="1" fillId="0" borderId="7" xfId="0" applyFont="1" applyBorder="1"/>
    <xf numFmtId="4" fontId="0" fillId="0" borderId="7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9" xfId="0" applyBorder="1"/>
    <xf numFmtId="0" fontId="1" fillId="0" borderId="2" xfId="0" applyFont="1" applyBorder="1"/>
    <xf numFmtId="4" fontId="0" fillId="0" borderId="2" xfId="0" applyNumberFormat="1" applyFont="1" applyBorder="1" applyAlignment="1">
      <alignment horizontal="center" vertical="center"/>
    </xf>
    <xf numFmtId="0" fontId="0" fillId="0" borderId="2" xfId="0" applyBorder="1"/>
    <xf numFmtId="0" fontId="0" fillId="0" borderId="2" xfId="0" applyFont="1" applyBorder="1"/>
    <xf numFmtId="4" fontId="2" fillId="0" borderId="3" xfId="0" applyNumberFormat="1" applyFont="1" applyBorder="1" applyAlignment="1">
      <alignment horizontal="center" vertical="center"/>
    </xf>
    <xf numFmtId="4" fontId="1" fillId="0" borderId="2" xfId="0" applyNumberFormat="1" applyFont="1" applyBorder="1"/>
    <xf numFmtId="4" fontId="2" fillId="0" borderId="3" xfId="0" applyNumberFormat="1" applyFont="1" applyBorder="1"/>
    <xf numFmtId="4" fontId="0" fillId="0" borderId="1" xfId="0" applyNumberFormat="1" applyFont="1" applyBorder="1"/>
    <xf numFmtId="4" fontId="0" fillId="0" borderId="7" xfId="0" applyNumberFormat="1" applyFont="1" applyBorder="1"/>
    <xf numFmtId="0" fontId="0" fillId="0" borderId="0" xfId="0" applyAlignment="1">
      <alignment horizontal="center" vertical="center"/>
    </xf>
    <xf numFmtId="4" fontId="0" fillId="0" borderId="13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1" xfId="0" applyFill="1" applyBorder="1"/>
    <xf numFmtId="4" fontId="0" fillId="0" borderId="1" xfId="0" applyNumberForma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2" xfId="0" applyNumberFormat="1" applyFont="1" applyBorder="1"/>
    <xf numFmtId="0" fontId="0" fillId="0" borderId="1" xfId="0" applyFont="1" applyBorder="1"/>
    <xf numFmtId="4" fontId="0" fillId="0" borderId="5" xfId="0" applyNumberForma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opLeftCell="B1" workbookViewId="0">
      <selection activeCell="I10" sqref="I10"/>
    </sheetView>
  </sheetViews>
  <sheetFormatPr baseColWidth="10" defaultRowHeight="15" x14ac:dyDescent="0.25"/>
  <cols>
    <col min="1" max="1" width="36.7109375" bestFit="1" customWidth="1"/>
    <col min="2" max="2" width="12.28515625" bestFit="1" customWidth="1"/>
    <col min="3" max="3" width="16.42578125" bestFit="1" customWidth="1"/>
    <col min="4" max="4" width="27.140625" bestFit="1" customWidth="1"/>
    <col min="5" max="5" width="12.28515625" bestFit="1" customWidth="1"/>
    <col min="6" max="6" width="13" style="5" bestFit="1" customWidth="1"/>
    <col min="7" max="7" width="27.28515625" bestFit="1" customWidth="1"/>
    <col min="8" max="8" width="12.28515625" bestFit="1" customWidth="1"/>
    <col min="9" max="9" width="13" style="21" bestFit="1" customWidth="1"/>
  </cols>
  <sheetData>
    <row r="2" spans="1:9" ht="15.75" thickBot="1" x14ac:dyDescent="0.3"/>
    <row r="3" spans="1:9" ht="16.5" thickBot="1" x14ac:dyDescent="0.3">
      <c r="A3" s="31">
        <v>2024</v>
      </c>
      <c r="B3" s="32"/>
      <c r="C3" s="33"/>
      <c r="D3" s="31">
        <v>2025</v>
      </c>
      <c r="E3" s="32"/>
      <c r="F3" s="33"/>
      <c r="G3" s="31">
        <v>2026</v>
      </c>
      <c r="H3" s="32"/>
      <c r="I3" s="33"/>
    </row>
    <row r="4" spans="1:9" x14ac:dyDescent="0.25">
      <c r="A4" s="11" t="s">
        <v>12</v>
      </c>
      <c r="B4" s="12" t="s">
        <v>0</v>
      </c>
      <c r="C4" s="13">
        <v>1879832.8</v>
      </c>
      <c r="D4" s="14"/>
      <c r="E4" s="12" t="s">
        <v>0</v>
      </c>
      <c r="F4" s="17"/>
      <c r="G4" s="15" t="s">
        <v>47</v>
      </c>
      <c r="H4" s="12" t="s">
        <v>0</v>
      </c>
      <c r="I4" s="22">
        <v>2108330.19</v>
      </c>
    </row>
    <row r="5" spans="1:9" x14ac:dyDescent="0.25">
      <c r="A5" s="6" t="s">
        <v>13</v>
      </c>
      <c r="B5" s="2" t="s">
        <v>1</v>
      </c>
      <c r="C5" s="4">
        <v>274373.28000000003</v>
      </c>
      <c r="D5" s="1"/>
      <c r="E5" s="2" t="s">
        <v>1</v>
      </c>
      <c r="F5" s="3"/>
      <c r="G5" s="2"/>
      <c r="H5" s="2" t="s">
        <v>1</v>
      </c>
      <c r="I5" s="23"/>
    </row>
    <row r="6" spans="1:9" x14ac:dyDescent="0.25">
      <c r="B6" s="2" t="s">
        <v>2</v>
      </c>
      <c r="D6" s="1"/>
      <c r="E6" s="2" t="s">
        <v>2</v>
      </c>
      <c r="F6" s="3"/>
      <c r="G6" s="29" t="s">
        <v>46</v>
      </c>
      <c r="H6" s="2" t="s">
        <v>2</v>
      </c>
      <c r="I6" s="23">
        <v>61648.55</v>
      </c>
    </row>
    <row r="7" spans="1:9" x14ac:dyDescent="0.25">
      <c r="A7" s="6"/>
      <c r="B7" s="2" t="s">
        <v>3</v>
      </c>
      <c r="C7" s="4"/>
      <c r="D7" s="1"/>
      <c r="E7" s="2" t="s">
        <v>3</v>
      </c>
      <c r="F7" s="3"/>
      <c r="G7" s="2"/>
      <c r="H7" s="2" t="s">
        <v>3</v>
      </c>
      <c r="I7" s="23"/>
    </row>
    <row r="8" spans="1:9" x14ac:dyDescent="0.25">
      <c r="A8" s="6"/>
      <c r="B8" s="2" t="s">
        <v>4</v>
      </c>
      <c r="C8" s="4"/>
      <c r="D8" s="1"/>
      <c r="E8" s="2" t="s">
        <v>4</v>
      </c>
      <c r="F8" s="3"/>
      <c r="G8" s="29" t="s">
        <v>48</v>
      </c>
      <c r="H8" s="2" t="s">
        <v>4</v>
      </c>
      <c r="I8" s="30">
        <v>3070.42</v>
      </c>
    </row>
    <row r="9" spans="1:9" x14ac:dyDescent="0.25">
      <c r="A9" s="6"/>
      <c r="B9" s="2" t="s">
        <v>5</v>
      </c>
      <c r="C9" s="4"/>
      <c r="D9" s="1"/>
      <c r="E9" s="2" t="s">
        <v>5</v>
      </c>
      <c r="F9" s="3"/>
      <c r="G9" s="2"/>
      <c r="H9" s="2" t="s">
        <v>5</v>
      </c>
      <c r="I9" s="23"/>
    </row>
    <row r="10" spans="1:9" x14ac:dyDescent="0.25">
      <c r="A10" s="6" t="s">
        <v>17</v>
      </c>
      <c r="B10" s="2" t="s">
        <v>6</v>
      </c>
      <c r="C10" s="4">
        <v>15519.86</v>
      </c>
      <c r="D10" s="1"/>
      <c r="E10" s="2" t="s">
        <v>6</v>
      </c>
      <c r="F10" s="3"/>
      <c r="G10" s="2"/>
      <c r="H10" s="2" t="s">
        <v>6</v>
      </c>
      <c r="I10" s="23"/>
    </row>
    <row r="11" spans="1:9" x14ac:dyDescent="0.25">
      <c r="A11" s="6" t="s">
        <v>14</v>
      </c>
      <c r="B11" s="2" t="s">
        <v>7</v>
      </c>
      <c r="C11" s="4">
        <v>263051.28000000003</v>
      </c>
      <c r="D11" s="1"/>
      <c r="E11" s="2" t="s">
        <v>7</v>
      </c>
      <c r="F11" s="3"/>
      <c r="G11" s="2"/>
      <c r="H11" s="2" t="s">
        <v>7</v>
      </c>
      <c r="I11" s="23"/>
    </row>
    <row r="12" spans="1:9" x14ac:dyDescent="0.25">
      <c r="A12" s="6"/>
      <c r="B12" s="2" t="s">
        <v>8</v>
      </c>
      <c r="C12" s="4"/>
      <c r="D12" s="1"/>
      <c r="E12" s="2" t="s">
        <v>8</v>
      </c>
      <c r="F12" s="3"/>
      <c r="G12" s="2"/>
      <c r="H12" s="2" t="s">
        <v>8</v>
      </c>
      <c r="I12" s="23"/>
    </row>
    <row r="13" spans="1:9" x14ac:dyDescent="0.25">
      <c r="A13" s="6"/>
      <c r="B13" s="2" t="s">
        <v>9</v>
      </c>
      <c r="C13" s="4"/>
      <c r="D13" s="1" t="s">
        <v>15</v>
      </c>
      <c r="E13" s="2" t="s">
        <v>9</v>
      </c>
      <c r="F13" s="19">
        <v>1434675.88</v>
      </c>
      <c r="G13" s="2"/>
      <c r="H13" s="2" t="s">
        <v>9</v>
      </c>
      <c r="I13" s="23"/>
    </row>
    <row r="14" spans="1:9" x14ac:dyDescent="0.25">
      <c r="A14" s="6"/>
      <c r="B14" s="2" t="s">
        <v>10</v>
      </c>
      <c r="C14" s="4"/>
      <c r="D14" s="1"/>
      <c r="E14" s="2" t="s">
        <v>10</v>
      </c>
      <c r="F14" s="19"/>
      <c r="G14" s="2"/>
      <c r="H14" s="2" t="s">
        <v>10</v>
      </c>
      <c r="I14" s="23"/>
    </row>
    <row r="15" spans="1:9" ht="15.75" thickBot="1" x14ac:dyDescent="0.3">
      <c r="A15" s="7"/>
      <c r="B15" s="8" t="s">
        <v>11</v>
      </c>
      <c r="C15" s="9"/>
      <c r="D15" s="10" t="s">
        <v>16</v>
      </c>
      <c r="E15" s="8" t="s">
        <v>11</v>
      </c>
      <c r="F15" s="20">
        <v>52678.74</v>
      </c>
      <c r="G15" s="8"/>
      <c r="H15" s="8" t="s">
        <v>11</v>
      </c>
      <c r="I15" s="24"/>
    </row>
    <row r="16" spans="1:9" ht="16.5" thickBot="1" x14ac:dyDescent="0.3">
      <c r="C16" s="16">
        <f>SUM(C4:C15)</f>
        <v>2432777.2199999997</v>
      </c>
      <c r="F16" s="18">
        <f>SUM(F4:F15)</f>
        <v>1487354.6199999999</v>
      </c>
      <c r="I16" s="16">
        <f>SUM(I4:I15)</f>
        <v>2173049.1599999997</v>
      </c>
    </row>
  </sheetData>
  <mergeCells count="3"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opLeftCell="B1" workbookViewId="0">
      <selection activeCell="D18" sqref="D18"/>
    </sheetView>
  </sheetViews>
  <sheetFormatPr baseColWidth="10" defaultRowHeight="15" x14ac:dyDescent="0.25"/>
  <cols>
    <col min="1" max="1" width="33.42578125" customWidth="1"/>
    <col min="2" max="2" width="12.28515625" bestFit="1" customWidth="1"/>
    <col min="3" max="3" width="16.42578125" bestFit="1" customWidth="1"/>
    <col min="4" max="4" width="29.5703125" bestFit="1" customWidth="1"/>
    <col min="5" max="5" width="12.28515625" bestFit="1" customWidth="1"/>
    <col min="6" max="6" width="13" style="5" bestFit="1" customWidth="1"/>
    <col min="7" max="7" width="27.28515625" bestFit="1" customWidth="1"/>
    <col min="8" max="8" width="12.28515625" bestFit="1" customWidth="1"/>
    <col min="9" max="9" width="13" style="21" bestFit="1" customWidth="1"/>
  </cols>
  <sheetData>
    <row r="2" spans="1:9" ht="15.75" thickBot="1" x14ac:dyDescent="0.3"/>
    <row r="3" spans="1:9" ht="16.5" thickBot="1" x14ac:dyDescent="0.3">
      <c r="A3" s="31">
        <v>2024</v>
      </c>
      <c r="B3" s="32"/>
      <c r="C3" s="33"/>
      <c r="D3" s="31">
        <v>2025</v>
      </c>
      <c r="E3" s="32"/>
      <c r="F3" s="33"/>
      <c r="G3" s="31">
        <v>2026</v>
      </c>
      <c r="H3" s="32"/>
      <c r="I3" s="33"/>
    </row>
    <row r="4" spans="1:9" x14ac:dyDescent="0.25">
      <c r="A4" s="11"/>
      <c r="B4" s="12" t="s">
        <v>0</v>
      </c>
      <c r="C4" s="13"/>
      <c r="D4" s="6" t="s">
        <v>29</v>
      </c>
      <c r="E4" s="12" t="s">
        <v>0</v>
      </c>
      <c r="F4" s="28">
        <v>3740183.79</v>
      </c>
      <c r="G4" s="15" t="s">
        <v>30</v>
      </c>
      <c r="H4" s="12" t="s">
        <v>0</v>
      </c>
      <c r="I4" s="22">
        <v>192622.02</v>
      </c>
    </row>
    <row r="5" spans="1:9" x14ac:dyDescent="0.25">
      <c r="A5" s="6" t="s">
        <v>29</v>
      </c>
      <c r="B5" s="2" t="s">
        <v>1</v>
      </c>
      <c r="C5" s="4">
        <v>1870273.97</v>
      </c>
      <c r="D5" s="1"/>
      <c r="E5" s="2" t="s">
        <v>1</v>
      </c>
      <c r="F5" s="3"/>
      <c r="G5" s="29" t="s">
        <v>32</v>
      </c>
      <c r="H5" s="2" t="s">
        <v>1</v>
      </c>
      <c r="I5" s="23">
        <v>120076.67</v>
      </c>
    </row>
    <row r="6" spans="1:9" x14ac:dyDescent="0.25">
      <c r="B6" s="2" t="s">
        <v>2</v>
      </c>
      <c r="D6" s="1"/>
      <c r="E6" s="2" t="s">
        <v>2</v>
      </c>
      <c r="F6" s="3"/>
      <c r="G6" s="2"/>
      <c r="H6" s="2" t="s">
        <v>2</v>
      </c>
      <c r="I6" s="23"/>
    </row>
    <row r="7" spans="1:9" x14ac:dyDescent="0.25">
      <c r="A7" s="6"/>
      <c r="B7" s="2" t="s">
        <v>3</v>
      </c>
      <c r="C7" s="4"/>
      <c r="D7" s="1"/>
      <c r="E7" s="2" t="s">
        <v>3</v>
      </c>
      <c r="F7" s="3"/>
      <c r="G7" s="29" t="s">
        <v>32</v>
      </c>
      <c r="H7" s="2" t="s">
        <v>3</v>
      </c>
      <c r="I7" s="23">
        <v>218012.99</v>
      </c>
    </row>
    <row r="8" spans="1:9" x14ac:dyDescent="0.25">
      <c r="A8" s="6"/>
      <c r="B8" s="2" t="s">
        <v>4</v>
      </c>
      <c r="C8" s="4"/>
      <c r="D8" s="1"/>
      <c r="E8" s="2" t="s">
        <v>4</v>
      </c>
      <c r="F8" s="3"/>
      <c r="G8" s="2"/>
      <c r="H8" s="2" t="s">
        <v>4</v>
      </c>
      <c r="I8" s="23"/>
    </row>
    <row r="9" spans="1:9" x14ac:dyDescent="0.25">
      <c r="A9" s="6"/>
      <c r="B9" s="2" t="s">
        <v>5</v>
      </c>
      <c r="C9" s="4"/>
      <c r="D9" s="1"/>
      <c r="E9" s="2" t="s">
        <v>5</v>
      </c>
      <c r="F9" s="3"/>
      <c r="G9" s="2"/>
      <c r="H9" s="2" t="s">
        <v>5</v>
      </c>
      <c r="I9" s="23"/>
    </row>
    <row r="10" spans="1:9" x14ac:dyDescent="0.25">
      <c r="A10" s="6"/>
      <c r="B10" s="2" t="s">
        <v>6</v>
      </c>
      <c r="C10" s="4"/>
      <c r="D10" s="1"/>
      <c r="E10" s="2" t="s">
        <v>6</v>
      </c>
      <c r="F10" s="3"/>
      <c r="G10" s="2"/>
      <c r="H10" s="2" t="s">
        <v>6</v>
      </c>
      <c r="I10" s="23"/>
    </row>
    <row r="11" spans="1:9" x14ac:dyDescent="0.25">
      <c r="A11" s="6"/>
      <c r="B11" s="2" t="s">
        <v>7</v>
      </c>
      <c r="C11" s="4"/>
      <c r="D11" s="1" t="s">
        <v>30</v>
      </c>
      <c r="E11" s="2" t="s">
        <v>7</v>
      </c>
      <c r="F11" s="19">
        <v>2294959.58</v>
      </c>
      <c r="G11" s="2"/>
      <c r="H11" s="2" t="s">
        <v>7</v>
      </c>
      <c r="I11" s="23"/>
    </row>
    <row r="12" spans="1:9" x14ac:dyDescent="0.25">
      <c r="A12" s="6"/>
      <c r="B12" s="2" t="s">
        <v>8</v>
      </c>
      <c r="C12" s="4"/>
      <c r="D12" s="1"/>
      <c r="E12" s="2" t="s">
        <v>8</v>
      </c>
      <c r="F12" s="3"/>
      <c r="G12" s="2"/>
      <c r="H12" s="2" t="s">
        <v>8</v>
      </c>
      <c r="I12" s="23"/>
    </row>
    <row r="13" spans="1:9" x14ac:dyDescent="0.25">
      <c r="A13" s="6"/>
      <c r="B13" s="2" t="s">
        <v>9</v>
      </c>
      <c r="C13" s="4"/>
      <c r="D13" s="1"/>
      <c r="E13" s="2" t="s">
        <v>9</v>
      </c>
      <c r="F13" s="19"/>
      <c r="G13" s="2"/>
      <c r="H13" s="2" t="s">
        <v>9</v>
      </c>
      <c r="I13" s="23"/>
    </row>
    <row r="14" spans="1:9" x14ac:dyDescent="0.25">
      <c r="A14" s="6"/>
      <c r="B14" s="2" t="s">
        <v>10</v>
      </c>
      <c r="C14" s="4"/>
      <c r="D14" s="1" t="s">
        <v>31</v>
      </c>
      <c r="E14" s="2" t="s">
        <v>10</v>
      </c>
      <c r="F14" s="19">
        <v>450232.32000000001</v>
      </c>
      <c r="G14" s="2"/>
      <c r="H14" s="2" t="s">
        <v>10</v>
      </c>
      <c r="I14" s="23"/>
    </row>
    <row r="15" spans="1:9" ht="15.75" thickBot="1" x14ac:dyDescent="0.3">
      <c r="A15" s="7"/>
      <c r="B15" s="8" t="s">
        <v>11</v>
      </c>
      <c r="C15" s="9"/>
      <c r="D15" s="10"/>
      <c r="E15" s="8" t="s">
        <v>11</v>
      </c>
      <c r="F15" s="20"/>
      <c r="G15" s="8"/>
      <c r="H15" s="8" t="s">
        <v>11</v>
      </c>
      <c r="I15" s="24"/>
    </row>
    <row r="16" spans="1:9" ht="16.5" thickBot="1" x14ac:dyDescent="0.3">
      <c r="C16" s="16">
        <f>SUM(C4:C15)</f>
        <v>1870273.97</v>
      </c>
      <c r="F16" s="18">
        <f>SUM(F4:F15)</f>
        <v>6485375.6900000004</v>
      </c>
      <c r="I16" s="16">
        <f>SUM(I4:I15)</f>
        <v>530711.67999999993</v>
      </c>
    </row>
  </sheetData>
  <mergeCells count="3"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topLeftCell="C4" workbookViewId="0">
      <selection activeCell="F19" sqref="F19"/>
    </sheetView>
  </sheetViews>
  <sheetFormatPr baseColWidth="10" defaultRowHeight="15" x14ac:dyDescent="0.25"/>
  <cols>
    <col min="1" max="1" width="44.7109375" bestFit="1" customWidth="1"/>
    <col min="2" max="2" width="12.28515625" bestFit="1" customWidth="1"/>
    <col min="3" max="3" width="16.42578125" bestFit="1" customWidth="1"/>
    <col min="4" max="4" width="44.5703125" bestFit="1" customWidth="1"/>
    <col min="5" max="5" width="12.28515625" bestFit="1" customWidth="1"/>
    <col min="6" max="6" width="13" style="5" bestFit="1" customWidth="1"/>
    <col min="7" max="7" width="27.28515625" bestFit="1" customWidth="1"/>
    <col min="8" max="8" width="12.28515625" bestFit="1" customWidth="1"/>
    <col min="9" max="9" width="13" style="21" bestFit="1" customWidth="1"/>
  </cols>
  <sheetData>
    <row r="2" spans="1:9" ht="15.75" thickBot="1" x14ac:dyDescent="0.3"/>
    <row r="3" spans="1:9" ht="16.5" thickBot="1" x14ac:dyDescent="0.3">
      <c r="A3" s="31">
        <v>2024</v>
      </c>
      <c r="B3" s="32"/>
      <c r="C3" s="33"/>
      <c r="D3" s="31">
        <v>2025</v>
      </c>
      <c r="E3" s="32"/>
      <c r="F3" s="33"/>
      <c r="G3" s="31">
        <v>2026</v>
      </c>
      <c r="H3" s="32"/>
      <c r="I3" s="33"/>
    </row>
    <row r="4" spans="1:9" x14ac:dyDescent="0.25">
      <c r="A4" s="25" t="s">
        <v>24</v>
      </c>
      <c r="B4" s="12" t="s">
        <v>0</v>
      </c>
      <c r="C4" s="13">
        <v>74561.710000000006</v>
      </c>
      <c r="D4" s="14"/>
      <c r="E4" s="12" t="s">
        <v>0</v>
      </c>
      <c r="F4" s="17"/>
      <c r="G4" s="15"/>
      <c r="H4" s="12" t="s">
        <v>0</v>
      </c>
      <c r="I4" s="22"/>
    </row>
    <row r="5" spans="1:9" x14ac:dyDescent="0.25">
      <c r="A5" s="25" t="s">
        <v>25</v>
      </c>
      <c r="B5" s="2" t="s">
        <v>1</v>
      </c>
      <c r="C5" s="4">
        <v>28768.400000000001</v>
      </c>
      <c r="D5" s="1"/>
      <c r="E5" s="2" t="s">
        <v>1</v>
      </c>
      <c r="F5" s="3"/>
      <c r="G5" s="2"/>
      <c r="H5" s="2" t="s">
        <v>1</v>
      </c>
      <c r="I5" s="23"/>
    </row>
    <row r="6" spans="1:9" x14ac:dyDescent="0.25">
      <c r="B6" s="2" t="s">
        <v>2</v>
      </c>
      <c r="D6" s="1" t="s">
        <v>27</v>
      </c>
      <c r="E6" s="2" t="s">
        <v>2</v>
      </c>
      <c r="F6" s="3">
        <v>1873615.8</v>
      </c>
      <c r="G6" s="2"/>
      <c r="H6" s="2" t="s">
        <v>2</v>
      </c>
      <c r="I6" s="23"/>
    </row>
    <row r="7" spans="1:9" x14ac:dyDescent="0.25">
      <c r="A7" s="6" t="s">
        <v>25</v>
      </c>
      <c r="B7" s="2" t="s">
        <v>3</v>
      </c>
      <c r="C7" s="4">
        <v>19470</v>
      </c>
      <c r="D7" s="1"/>
      <c r="E7" s="2" t="s">
        <v>3</v>
      </c>
      <c r="F7" s="3"/>
      <c r="G7" s="2"/>
      <c r="H7" s="2" t="s">
        <v>3</v>
      </c>
      <c r="I7" s="23"/>
    </row>
    <row r="8" spans="1:9" x14ac:dyDescent="0.25">
      <c r="A8" s="6"/>
      <c r="B8" s="2" t="s">
        <v>4</v>
      </c>
      <c r="C8" s="4"/>
      <c r="D8" s="1"/>
      <c r="E8" s="2" t="s">
        <v>4</v>
      </c>
      <c r="F8" s="3"/>
      <c r="G8" s="29" t="s">
        <v>50</v>
      </c>
      <c r="H8" s="2" t="s">
        <v>4</v>
      </c>
      <c r="I8" s="23">
        <v>46228.85</v>
      </c>
    </row>
    <row r="9" spans="1:9" x14ac:dyDescent="0.25">
      <c r="A9" s="6" t="s">
        <v>25</v>
      </c>
      <c r="B9" s="2" t="s">
        <v>5</v>
      </c>
      <c r="C9" s="4">
        <v>147080.63</v>
      </c>
      <c r="D9" s="1"/>
      <c r="E9" s="2" t="s">
        <v>5</v>
      </c>
      <c r="F9" s="3"/>
      <c r="G9" s="2"/>
      <c r="H9" s="2" t="s">
        <v>5</v>
      </c>
      <c r="I9" s="23"/>
    </row>
    <row r="10" spans="1:9" x14ac:dyDescent="0.25">
      <c r="A10" s="6"/>
      <c r="B10" s="2" t="s">
        <v>6</v>
      </c>
      <c r="C10" s="4"/>
      <c r="D10" s="1"/>
      <c r="E10" s="2" t="s">
        <v>6</v>
      </c>
      <c r="F10" s="3"/>
      <c r="G10" s="2"/>
      <c r="H10" s="2" t="s">
        <v>6</v>
      </c>
      <c r="I10" s="23"/>
    </row>
    <row r="11" spans="1:9" x14ac:dyDescent="0.25">
      <c r="A11" s="6" t="s">
        <v>26</v>
      </c>
      <c r="B11" s="2" t="s">
        <v>7</v>
      </c>
      <c r="C11" s="4">
        <v>445241.32</v>
      </c>
      <c r="D11" s="1"/>
      <c r="E11" s="2" t="s">
        <v>7</v>
      </c>
      <c r="F11" s="3"/>
      <c r="G11" s="2"/>
      <c r="H11" s="2" t="s">
        <v>7</v>
      </c>
      <c r="I11" s="23"/>
    </row>
    <row r="12" spans="1:9" x14ac:dyDescent="0.25">
      <c r="A12" s="6" t="s">
        <v>26</v>
      </c>
      <c r="B12" s="2" t="s">
        <v>8</v>
      </c>
      <c r="C12" s="4">
        <v>171470.4</v>
      </c>
      <c r="D12" s="1"/>
      <c r="E12" s="2" t="s">
        <v>8</v>
      </c>
      <c r="F12" s="3"/>
      <c r="G12" s="2"/>
      <c r="H12" s="2" t="s">
        <v>8</v>
      </c>
      <c r="I12" s="23"/>
    </row>
    <row r="13" spans="1:9" x14ac:dyDescent="0.25">
      <c r="A13" s="6" t="s">
        <v>26</v>
      </c>
      <c r="B13" s="2" t="s">
        <v>9</v>
      </c>
      <c r="C13" s="4">
        <v>105806.01</v>
      </c>
      <c r="D13" s="1" t="s">
        <v>27</v>
      </c>
      <c r="E13" s="2" t="s">
        <v>9</v>
      </c>
      <c r="F13" s="19">
        <v>248440.74</v>
      </c>
      <c r="G13" s="2"/>
      <c r="H13" s="2" t="s">
        <v>9</v>
      </c>
      <c r="I13" s="23"/>
    </row>
    <row r="14" spans="1:9" x14ac:dyDescent="0.25">
      <c r="A14" s="6"/>
      <c r="B14" s="2" t="s">
        <v>10</v>
      </c>
      <c r="C14" s="4"/>
      <c r="D14" s="1"/>
      <c r="E14" s="2" t="s">
        <v>10</v>
      </c>
      <c r="F14" s="19"/>
      <c r="G14" s="2"/>
      <c r="H14" s="2" t="s">
        <v>10</v>
      </c>
      <c r="I14" s="23"/>
    </row>
    <row r="15" spans="1:9" ht="15.75" thickBot="1" x14ac:dyDescent="0.3">
      <c r="A15" s="7"/>
      <c r="B15" s="8" t="s">
        <v>11</v>
      </c>
      <c r="C15" s="9"/>
      <c r="D15" s="10" t="s">
        <v>28</v>
      </c>
      <c r="E15" s="8" t="s">
        <v>11</v>
      </c>
      <c r="F15" s="20">
        <v>240795.51999999999</v>
      </c>
      <c r="G15" s="8"/>
      <c r="H15" s="8" t="s">
        <v>11</v>
      </c>
      <c r="I15" s="24"/>
    </row>
    <row r="16" spans="1:9" ht="16.5" thickBot="1" x14ac:dyDescent="0.3">
      <c r="C16" s="16">
        <f>SUM(C4:C15)</f>
        <v>992398.47000000009</v>
      </c>
      <c r="F16" s="18">
        <f>SUM(F4:F15)</f>
        <v>2362852.06</v>
      </c>
      <c r="I16" s="16">
        <f>SUM(I4:I15)</f>
        <v>46228.85</v>
      </c>
    </row>
  </sheetData>
  <mergeCells count="3"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>
      <selection activeCell="F18" sqref="F18"/>
    </sheetView>
  </sheetViews>
  <sheetFormatPr baseColWidth="10" defaultRowHeight="15" x14ac:dyDescent="0.25"/>
  <cols>
    <col min="1" max="1" width="44" bestFit="1" customWidth="1"/>
    <col min="2" max="2" width="12.28515625" bestFit="1" customWidth="1"/>
    <col min="3" max="3" width="13" style="5" bestFit="1" customWidth="1"/>
    <col min="4" max="4" width="27.28515625" bestFit="1" customWidth="1"/>
    <col min="5" max="5" width="12.28515625" bestFit="1" customWidth="1"/>
    <col min="6" max="6" width="13" style="21" bestFit="1" customWidth="1"/>
  </cols>
  <sheetData>
    <row r="2" spans="1:6" ht="15.75" thickBot="1" x14ac:dyDescent="0.3"/>
    <row r="3" spans="1:6" ht="16.5" thickBot="1" x14ac:dyDescent="0.3">
      <c r="A3" s="31">
        <v>2025</v>
      </c>
      <c r="B3" s="32"/>
      <c r="C3" s="33"/>
      <c r="D3" s="31">
        <v>2026</v>
      </c>
      <c r="E3" s="32"/>
      <c r="F3" s="33"/>
    </row>
    <row r="4" spans="1:6" x14ac:dyDescent="0.25">
      <c r="A4" s="14"/>
      <c r="B4" s="12" t="s">
        <v>0</v>
      </c>
      <c r="C4" s="17"/>
      <c r="D4" s="15"/>
      <c r="E4" s="12" t="s">
        <v>0</v>
      </c>
      <c r="F4" s="22"/>
    </row>
    <row r="5" spans="1:6" x14ac:dyDescent="0.25">
      <c r="A5" s="1"/>
      <c r="B5" s="2" t="s">
        <v>1</v>
      </c>
      <c r="C5" s="3"/>
      <c r="D5" s="2"/>
      <c r="E5" s="2" t="s">
        <v>1</v>
      </c>
      <c r="F5" s="23"/>
    </row>
    <row r="6" spans="1:6" x14ac:dyDescent="0.25">
      <c r="A6" s="1"/>
      <c r="B6" s="2" t="s">
        <v>2</v>
      </c>
      <c r="C6" s="3"/>
      <c r="D6" s="2"/>
      <c r="E6" s="2" t="s">
        <v>2</v>
      </c>
      <c r="F6" s="23"/>
    </row>
    <row r="7" spans="1:6" x14ac:dyDescent="0.25">
      <c r="A7" s="1"/>
      <c r="B7" s="2" t="s">
        <v>3</v>
      </c>
      <c r="C7" s="3"/>
      <c r="D7" s="2"/>
      <c r="E7" s="2" t="s">
        <v>3</v>
      </c>
      <c r="F7" s="23"/>
    </row>
    <row r="8" spans="1:6" x14ac:dyDescent="0.25">
      <c r="A8" s="1"/>
      <c r="B8" s="2" t="s">
        <v>4</v>
      </c>
      <c r="C8" s="3"/>
      <c r="D8" s="2" t="s">
        <v>49</v>
      </c>
      <c r="E8" s="2" t="s">
        <v>4</v>
      </c>
      <c r="F8" s="23">
        <v>121327.01</v>
      </c>
    </row>
    <row r="9" spans="1:6" x14ac:dyDescent="0.25">
      <c r="A9" s="1" t="s">
        <v>18</v>
      </c>
      <c r="B9" s="2" t="s">
        <v>5</v>
      </c>
      <c r="C9" s="19">
        <v>97500</v>
      </c>
      <c r="D9" s="2" t="s">
        <v>51</v>
      </c>
      <c r="E9" s="2" t="s">
        <v>5</v>
      </c>
      <c r="F9" s="23">
        <v>97500</v>
      </c>
    </row>
    <row r="10" spans="1:6" x14ac:dyDescent="0.25">
      <c r="A10" s="1"/>
      <c r="B10" s="2" t="s">
        <v>6</v>
      </c>
      <c r="C10" s="3"/>
      <c r="D10" s="2"/>
      <c r="E10" s="2" t="s">
        <v>6</v>
      </c>
      <c r="F10" s="23"/>
    </row>
    <row r="11" spans="1:6" x14ac:dyDescent="0.25">
      <c r="A11" s="1"/>
      <c r="B11" s="2" t="s">
        <v>7</v>
      </c>
      <c r="C11" s="3"/>
      <c r="D11" s="2"/>
      <c r="E11" s="2" t="s">
        <v>7</v>
      </c>
      <c r="F11" s="23"/>
    </row>
    <row r="12" spans="1:6" x14ac:dyDescent="0.25">
      <c r="A12" s="1"/>
      <c r="B12" s="2" t="s">
        <v>8</v>
      </c>
      <c r="C12" s="3"/>
      <c r="D12" s="2"/>
      <c r="E12" s="2" t="s">
        <v>8</v>
      </c>
      <c r="F12" s="23"/>
    </row>
    <row r="13" spans="1:6" x14ac:dyDescent="0.25">
      <c r="A13" s="1"/>
      <c r="B13" s="2" t="s">
        <v>9</v>
      </c>
      <c r="C13" s="19"/>
      <c r="D13" s="2"/>
      <c r="E13" s="2" t="s">
        <v>9</v>
      </c>
      <c r="F13" s="23"/>
    </row>
    <row r="14" spans="1:6" x14ac:dyDescent="0.25">
      <c r="A14" s="1" t="s">
        <v>19</v>
      </c>
      <c r="B14" s="2" t="s">
        <v>10</v>
      </c>
      <c r="C14" s="19">
        <v>107538.12</v>
      </c>
      <c r="D14" s="2"/>
      <c r="E14" s="2" t="s">
        <v>10</v>
      </c>
      <c r="F14" s="23"/>
    </row>
    <row r="15" spans="1:6" ht="15.75" thickBot="1" x14ac:dyDescent="0.3">
      <c r="A15" s="10"/>
      <c r="B15" s="8" t="s">
        <v>11</v>
      </c>
      <c r="C15" s="20"/>
      <c r="D15" s="8"/>
      <c r="E15" s="8" t="s">
        <v>11</v>
      </c>
      <c r="F15" s="24"/>
    </row>
    <row r="16" spans="1:6" ht="16.5" thickBot="1" x14ac:dyDescent="0.3">
      <c r="C16" s="18">
        <f>SUM(C4:C15)</f>
        <v>205038.12</v>
      </c>
      <c r="F16" s="16">
        <f>SUM(F4:F15)</f>
        <v>218827.01</v>
      </c>
    </row>
  </sheetData>
  <mergeCells count="2">
    <mergeCell ref="A3:C3"/>
    <mergeCell ref="D3:F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workbookViewId="0">
      <selection activeCell="F5" sqref="F5"/>
    </sheetView>
  </sheetViews>
  <sheetFormatPr baseColWidth="10" defaultRowHeight="15" x14ac:dyDescent="0.25"/>
  <cols>
    <col min="1" max="1" width="44" bestFit="1" customWidth="1"/>
    <col min="2" max="2" width="12.28515625" bestFit="1" customWidth="1"/>
    <col min="3" max="3" width="13" style="5" bestFit="1" customWidth="1"/>
    <col min="4" max="4" width="33.85546875" bestFit="1" customWidth="1"/>
    <col min="5" max="5" width="12.28515625" bestFit="1" customWidth="1"/>
    <col min="6" max="6" width="13" style="21" bestFit="1" customWidth="1"/>
  </cols>
  <sheetData>
    <row r="2" spans="1:6" ht="15.75" thickBot="1" x14ac:dyDescent="0.3"/>
    <row r="3" spans="1:6" ht="16.5" thickBot="1" x14ac:dyDescent="0.3">
      <c r="A3" s="31">
        <v>2025</v>
      </c>
      <c r="B3" s="32"/>
      <c r="C3" s="33"/>
      <c r="D3" s="31">
        <v>2026</v>
      </c>
      <c r="E3" s="32"/>
      <c r="F3" s="33"/>
    </row>
    <row r="4" spans="1:6" x14ac:dyDescent="0.25">
      <c r="A4" s="14"/>
      <c r="B4" s="12" t="s">
        <v>0</v>
      </c>
      <c r="C4" s="17"/>
      <c r="D4" s="15"/>
      <c r="E4" s="12" t="s">
        <v>0</v>
      </c>
      <c r="F4" s="22"/>
    </row>
    <row r="5" spans="1:6" x14ac:dyDescent="0.25">
      <c r="A5" s="1"/>
      <c r="B5" s="2" t="s">
        <v>1</v>
      </c>
      <c r="C5" s="3"/>
      <c r="D5" s="25" t="s">
        <v>22</v>
      </c>
      <c r="E5" s="2" t="s">
        <v>1</v>
      </c>
      <c r="F5" s="27">
        <v>36296</v>
      </c>
    </row>
    <row r="6" spans="1:6" x14ac:dyDescent="0.25">
      <c r="A6" s="1"/>
      <c r="B6" s="2" t="s">
        <v>2</v>
      </c>
      <c r="C6" s="3"/>
      <c r="D6" s="25" t="s">
        <v>23</v>
      </c>
      <c r="E6" s="2" t="s">
        <v>2</v>
      </c>
      <c r="F6" s="27">
        <v>34095.279999999999</v>
      </c>
    </row>
    <row r="7" spans="1:6" x14ac:dyDescent="0.25">
      <c r="A7" s="1"/>
      <c r="B7" s="2" t="s">
        <v>3</v>
      </c>
      <c r="C7" s="3"/>
      <c r="D7" s="2"/>
      <c r="E7" s="2" t="s">
        <v>3</v>
      </c>
      <c r="F7" s="23"/>
    </row>
    <row r="8" spans="1:6" x14ac:dyDescent="0.25">
      <c r="A8" s="1"/>
      <c r="B8" s="2" t="s">
        <v>4</v>
      </c>
      <c r="C8" s="3"/>
      <c r="D8" s="2"/>
      <c r="E8" s="2" t="s">
        <v>4</v>
      </c>
      <c r="F8" s="23"/>
    </row>
    <row r="9" spans="1:6" x14ac:dyDescent="0.25">
      <c r="A9" s="1"/>
      <c r="B9" s="2" t="s">
        <v>5</v>
      </c>
      <c r="C9" s="19"/>
      <c r="D9" s="2"/>
      <c r="E9" s="2" t="s">
        <v>5</v>
      </c>
      <c r="F9" s="23"/>
    </row>
    <row r="10" spans="1:6" x14ac:dyDescent="0.25">
      <c r="A10" s="1"/>
      <c r="B10" s="2" t="s">
        <v>6</v>
      </c>
      <c r="C10" s="3"/>
      <c r="D10" s="2"/>
      <c r="E10" s="2" t="s">
        <v>6</v>
      </c>
      <c r="F10" s="23"/>
    </row>
    <row r="11" spans="1:6" x14ac:dyDescent="0.25">
      <c r="A11" s="1"/>
      <c r="B11" s="2" t="s">
        <v>7</v>
      </c>
      <c r="C11" s="3"/>
      <c r="D11" s="2"/>
      <c r="E11" s="2" t="s">
        <v>7</v>
      </c>
      <c r="F11" s="23"/>
    </row>
    <row r="12" spans="1:6" x14ac:dyDescent="0.25">
      <c r="A12" s="1"/>
      <c r="B12" s="2" t="s">
        <v>8</v>
      </c>
      <c r="C12" s="3"/>
      <c r="D12" s="2"/>
      <c r="E12" s="2" t="s">
        <v>8</v>
      </c>
      <c r="F12" s="23"/>
    </row>
    <row r="13" spans="1:6" x14ac:dyDescent="0.25">
      <c r="A13" s="25" t="s">
        <v>20</v>
      </c>
      <c r="B13" s="2" t="s">
        <v>9</v>
      </c>
      <c r="C13" s="26">
        <v>231606.27</v>
      </c>
      <c r="D13" s="2"/>
      <c r="E13" s="2" t="s">
        <v>9</v>
      </c>
      <c r="F13" s="23"/>
    </row>
    <row r="14" spans="1:6" x14ac:dyDescent="0.25">
      <c r="A14" s="25" t="s">
        <v>21</v>
      </c>
      <c r="B14" s="2" t="s">
        <v>10</v>
      </c>
      <c r="C14" s="26">
        <v>246504.95</v>
      </c>
      <c r="D14" s="2"/>
      <c r="E14" s="2" t="s">
        <v>10</v>
      </c>
      <c r="F14" s="23"/>
    </row>
    <row r="15" spans="1:6" ht="15.75" thickBot="1" x14ac:dyDescent="0.3">
      <c r="A15" s="10"/>
      <c r="B15" s="8" t="s">
        <v>11</v>
      </c>
      <c r="C15" s="20"/>
      <c r="D15" s="8"/>
      <c r="E15" s="8" t="s">
        <v>11</v>
      </c>
      <c r="F15" s="24"/>
    </row>
    <row r="16" spans="1:6" ht="16.5" thickBot="1" x14ac:dyDescent="0.3">
      <c r="C16" s="18">
        <f>SUM(C4:C15)</f>
        <v>478111.22</v>
      </c>
      <c r="F16" s="16">
        <f>SUM(F4:F15)</f>
        <v>70391.28</v>
      </c>
    </row>
  </sheetData>
  <mergeCells count="2">
    <mergeCell ref="A3:C3"/>
    <mergeCell ref="D3:F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opLeftCell="B1" workbookViewId="0">
      <selection activeCell="I6" sqref="I6"/>
    </sheetView>
  </sheetViews>
  <sheetFormatPr baseColWidth="10" defaultRowHeight="15" x14ac:dyDescent="0.25"/>
  <cols>
    <col min="1" max="1" width="40.5703125" bestFit="1" customWidth="1"/>
    <col min="2" max="2" width="12.28515625" bestFit="1" customWidth="1"/>
    <col min="3" max="3" width="13" bestFit="1" customWidth="1"/>
    <col min="4" max="4" width="61.28515625" bestFit="1" customWidth="1"/>
    <col min="5" max="5" width="12.28515625" bestFit="1" customWidth="1"/>
    <col min="6" max="6" width="13" style="5" bestFit="1" customWidth="1"/>
    <col min="7" max="7" width="27.28515625" bestFit="1" customWidth="1"/>
    <col min="8" max="8" width="12.28515625" bestFit="1" customWidth="1"/>
    <col min="9" max="9" width="13" style="21" bestFit="1" customWidth="1"/>
  </cols>
  <sheetData>
    <row r="2" spans="1:9" ht="15.75" thickBot="1" x14ac:dyDescent="0.3"/>
    <row r="3" spans="1:9" ht="16.5" thickBot="1" x14ac:dyDescent="0.3">
      <c r="A3" s="31">
        <v>2024</v>
      </c>
      <c r="B3" s="32"/>
      <c r="C3" s="33"/>
      <c r="D3" s="31">
        <v>2025</v>
      </c>
      <c r="E3" s="32"/>
      <c r="F3" s="33"/>
      <c r="G3" s="31">
        <v>2026</v>
      </c>
      <c r="H3" s="32"/>
      <c r="I3" s="33"/>
    </row>
    <row r="4" spans="1:9" x14ac:dyDescent="0.25">
      <c r="A4" s="11"/>
      <c r="B4" s="12" t="s">
        <v>0</v>
      </c>
      <c r="C4" s="13"/>
      <c r="D4" s="6"/>
      <c r="E4" s="12" t="s">
        <v>0</v>
      </c>
      <c r="F4" s="28"/>
      <c r="G4" s="15"/>
      <c r="H4" s="12" t="s">
        <v>0</v>
      </c>
      <c r="I4" s="22"/>
    </row>
    <row r="5" spans="1:9" x14ac:dyDescent="0.25">
      <c r="A5" s="6" t="s">
        <v>33</v>
      </c>
      <c r="B5" s="2" t="s">
        <v>1</v>
      </c>
      <c r="C5" s="4">
        <v>161683.20000000001</v>
      </c>
      <c r="D5" s="1"/>
      <c r="E5" s="2" t="s">
        <v>1</v>
      </c>
      <c r="F5" s="3"/>
      <c r="G5" s="29" t="s">
        <v>44</v>
      </c>
      <c r="H5" s="2" t="s">
        <v>1</v>
      </c>
      <c r="I5" s="23">
        <v>1421583.76</v>
      </c>
    </row>
    <row r="6" spans="1:9" x14ac:dyDescent="0.25">
      <c r="B6" s="2" t="s">
        <v>2</v>
      </c>
      <c r="D6" s="1"/>
      <c r="E6" s="2" t="s">
        <v>2</v>
      </c>
      <c r="F6" s="3"/>
      <c r="G6" s="29" t="s">
        <v>45</v>
      </c>
      <c r="H6" s="2" t="s">
        <v>2</v>
      </c>
      <c r="I6" s="23">
        <v>1433701.18</v>
      </c>
    </row>
    <row r="7" spans="1:9" x14ac:dyDescent="0.25">
      <c r="A7" s="6"/>
      <c r="B7" s="2" t="s">
        <v>3</v>
      </c>
      <c r="C7" s="4"/>
      <c r="D7" s="1"/>
      <c r="E7" s="2" t="s">
        <v>3</v>
      </c>
      <c r="F7" s="3"/>
      <c r="G7" s="2"/>
      <c r="H7" s="2" t="s">
        <v>3</v>
      </c>
      <c r="I7" s="23"/>
    </row>
    <row r="8" spans="1:9" x14ac:dyDescent="0.25">
      <c r="A8" s="6"/>
      <c r="B8" s="2" t="s">
        <v>4</v>
      </c>
      <c r="C8" s="4"/>
      <c r="D8" s="1"/>
      <c r="E8" s="2" t="s">
        <v>4</v>
      </c>
      <c r="F8" s="3"/>
      <c r="G8" s="2"/>
      <c r="H8" s="2" t="s">
        <v>4</v>
      </c>
      <c r="I8" s="23"/>
    </row>
    <row r="9" spans="1:9" x14ac:dyDescent="0.25">
      <c r="A9" s="6"/>
      <c r="B9" s="2" t="s">
        <v>5</v>
      </c>
      <c r="C9" s="4"/>
      <c r="D9" s="1"/>
      <c r="E9" s="2" t="s">
        <v>5</v>
      </c>
      <c r="F9" s="3"/>
      <c r="G9" s="2"/>
      <c r="H9" s="2" t="s">
        <v>5</v>
      </c>
      <c r="I9" s="23"/>
    </row>
    <row r="10" spans="1:9" x14ac:dyDescent="0.25">
      <c r="A10" s="6" t="s">
        <v>34</v>
      </c>
      <c r="B10" s="2" t="s">
        <v>6</v>
      </c>
      <c r="C10" s="4">
        <v>826998.93</v>
      </c>
      <c r="D10" s="1" t="s">
        <v>38</v>
      </c>
      <c r="E10" s="2" t="s">
        <v>6</v>
      </c>
      <c r="F10" s="19">
        <v>701168.04</v>
      </c>
      <c r="G10" s="2"/>
      <c r="H10" s="2" t="s">
        <v>6</v>
      </c>
      <c r="I10" s="23"/>
    </row>
    <row r="11" spans="1:9" x14ac:dyDescent="0.25">
      <c r="A11" s="6" t="s">
        <v>35</v>
      </c>
      <c r="B11" s="2" t="s">
        <v>7</v>
      </c>
      <c r="C11" s="4">
        <v>1091600.81</v>
      </c>
      <c r="D11" s="1" t="s">
        <v>39</v>
      </c>
      <c r="E11" s="2" t="s">
        <v>7</v>
      </c>
      <c r="F11" s="19">
        <v>110564.82</v>
      </c>
      <c r="G11" s="2"/>
      <c r="H11" s="2" t="s">
        <v>7</v>
      </c>
      <c r="I11" s="23"/>
    </row>
    <row r="12" spans="1:9" x14ac:dyDescent="0.25">
      <c r="A12" s="6" t="s">
        <v>36</v>
      </c>
      <c r="B12" s="2" t="s">
        <v>8</v>
      </c>
      <c r="C12" s="4">
        <v>1872203.42</v>
      </c>
      <c r="D12" s="1" t="s">
        <v>40</v>
      </c>
      <c r="E12" s="2" t="s">
        <v>8</v>
      </c>
      <c r="F12" s="3">
        <v>2509080.61</v>
      </c>
      <c r="G12" s="2"/>
      <c r="H12" s="2" t="s">
        <v>8</v>
      </c>
      <c r="I12" s="23"/>
    </row>
    <row r="13" spans="1:9" x14ac:dyDescent="0.25">
      <c r="A13" s="6" t="s">
        <v>37</v>
      </c>
      <c r="B13" s="2" t="s">
        <v>9</v>
      </c>
      <c r="C13" s="4">
        <v>2486765.46</v>
      </c>
      <c r="D13" s="1" t="s">
        <v>41</v>
      </c>
      <c r="E13" s="2" t="s">
        <v>9</v>
      </c>
      <c r="F13" s="19">
        <v>715019.82</v>
      </c>
      <c r="G13" s="2"/>
      <c r="H13" s="2" t="s">
        <v>9</v>
      </c>
      <c r="I13" s="23"/>
    </row>
    <row r="14" spans="1:9" x14ac:dyDescent="0.25">
      <c r="A14" s="6"/>
      <c r="B14" s="2" t="s">
        <v>10</v>
      </c>
      <c r="C14" s="4"/>
      <c r="D14" s="1" t="s">
        <v>42</v>
      </c>
      <c r="E14" s="2" t="s">
        <v>10</v>
      </c>
      <c r="F14" s="19">
        <v>199020.57</v>
      </c>
      <c r="G14" s="2"/>
      <c r="H14" s="2" t="s">
        <v>10</v>
      </c>
      <c r="I14" s="23"/>
    </row>
    <row r="15" spans="1:9" ht="15.75" thickBot="1" x14ac:dyDescent="0.3">
      <c r="A15" s="7"/>
      <c r="B15" s="8" t="s">
        <v>11</v>
      </c>
      <c r="C15" s="9"/>
      <c r="D15" s="10" t="s">
        <v>43</v>
      </c>
      <c r="E15" s="8" t="s">
        <v>11</v>
      </c>
      <c r="F15" s="20">
        <v>1485247.89</v>
      </c>
      <c r="G15" s="8"/>
      <c r="H15" s="8" t="s">
        <v>11</v>
      </c>
      <c r="I15" s="24"/>
    </row>
    <row r="16" spans="1:9" ht="16.5" thickBot="1" x14ac:dyDescent="0.3">
      <c r="C16" s="16">
        <f>SUM(C4:C15)</f>
        <v>6439251.8200000003</v>
      </c>
      <c r="F16" s="18">
        <f>SUM(F4:F15)</f>
        <v>5720101.7499999991</v>
      </c>
      <c r="I16" s="16">
        <f>SUM(I4:I15)</f>
        <v>2855284.94</v>
      </c>
    </row>
  </sheetData>
  <mergeCells count="3">
    <mergeCell ref="A3:C3"/>
    <mergeCell ref="D3:F3"/>
    <mergeCell ref="G3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KARIM</vt:lpstr>
      <vt:lpstr>CINTHIA</vt:lpstr>
      <vt:lpstr>JOSE</vt:lpstr>
      <vt:lpstr>CARLOS</vt:lpstr>
      <vt:lpstr>EDUARDO</vt:lpstr>
      <vt:lpstr>FERNANDO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Elita Lucar Rojas</dc:creator>
  <cp:lastModifiedBy>Ines Elita Lucar Rojas</cp:lastModifiedBy>
  <dcterms:created xsi:type="dcterms:W3CDTF">2026-04-14T16:05:41Z</dcterms:created>
  <dcterms:modified xsi:type="dcterms:W3CDTF">2026-06-15T20:07:37Z</dcterms:modified>
</cp:coreProperties>
</file>