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azuri\Downloads\"/>
    </mc:Choice>
  </mc:AlternateContent>
  <xr:revisionPtr revIDLastSave="0" documentId="13_ncr:1_{74D85577-05C9-42CE-ACCF-67B7421A629E}" xr6:coauthVersionLast="47" xr6:coauthVersionMax="47" xr10:uidLastSave="{00000000-0000-0000-0000-000000000000}"/>
  <bookViews>
    <workbookView xWindow="-120" yWindow="-120" windowWidth="29040" windowHeight="15720" xr2:uid="{B0C4FD80-608E-4580-A733-69887DA2DE3A}"/>
  </bookViews>
  <sheets>
    <sheet name="Gant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1" l="1"/>
  <c r="F52" i="1"/>
  <c r="F138" i="1"/>
  <c r="E138" i="1"/>
  <c r="F126" i="1"/>
  <c r="E126" i="1"/>
  <c r="F108" i="1"/>
  <c r="E108" i="1"/>
  <c r="F102" i="1"/>
  <c r="E102" i="1"/>
  <c r="F96" i="1"/>
  <c r="E96" i="1"/>
  <c r="F84" i="1"/>
  <c r="E84" i="1"/>
  <c r="F78" i="1"/>
  <c r="E78" i="1"/>
  <c r="F72" i="1"/>
  <c r="E72" i="1"/>
  <c r="F66" i="1"/>
  <c r="E66" i="1"/>
</calcChain>
</file>

<file path=xl/sharedStrings.xml><?xml version="1.0" encoding="utf-8"?>
<sst xmlns="http://schemas.openxmlformats.org/spreadsheetml/2006/main" count="265" uniqueCount="183">
  <si>
    <t>PLAN</t>
  </si>
  <si>
    <t>AVANCE</t>
  </si>
  <si>
    <t>Actividades</t>
  </si>
  <si>
    <t>Monto</t>
  </si>
  <si>
    <t>Fecha Inicio</t>
  </si>
  <si>
    <t xml:space="preserve">Fecha Fin </t>
  </si>
  <si>
    <t>% Plan</t>
  </si>
  <si>
    <t>%Real</t>
  </si>
  <si>
    <t>App para registro de tallaje - Samitex</t>
  </si>
  <si>
    <t>Inicio</t>
  </si>
  <si>
    <t>Definicion de ENT</t>
  </si>
  <si>
    <t>Revision de ENT</t>
  </si>
  <si>
    <t>TIC/Retail</t>
  </si>
  <si>
    <t>Aprobacion de ENT</t>
  </si>
  <si>
    <t>Cotización</t>
  </si>
  <si>
    <t>Área Desarrollo</t>
  </si>
  <si>
    <t>TIC</t>
  </si>
  <si>
    <t>ENT en cotizacion</t>
  </si>
  <si>
    <t xml:space="preserve">Aprobacion de TIC </t>
  </si>
  <si>
    <t>Aprobacion de Cotizacion</t>
  </si>
  <si>
    <t>Kick off del proyecto</t>
  </si>
  <si>
    <t>Prototipado</t>
  </si>
  <si>
    <t>Prov</t>
  </si>
  <si>
    <t>Semana 1</t>
  </si>
  <si>
    <t>Accesos y perfiles</t>
  </si>
  <si>
    <t>Módulo de Inicio de Sesión</t>
  </si>
  <si>
    <t>Módulo de gestión de usuario del sistema</t>
  </si>
  <si>
    <t>Módulo de registro de perfil (cargo del personal)</t>
  </si>
  <si>
    <t>Módulo de asignación de accesos por perfil de cargo</t>
  </si>
  <si>
    <t>Gestión de personal y parámetros de medidas</t>
  </si>
  <si>
    <t>Módulo de gestión del personal</t>
  </si>
  <si>
    <t>Módulo de registro de parámetros de medidas corporales</t>
  </si>
  <si>
    <t>Registro de tallas y productos</t>
  </si>
  <si>
    <t>Módulo de registro de talla</t>
  </si>
  <si>
    <t>Módulo de registro de tipo de productos</t>
  </si>
  <si>
    <t>Semana 2</t>
  </si>
  <si>
    <t>Registro de negocio y proceso</t>
  </si>
  <si>
    <t>Módulo de registro de tipo de negocio</t>
  </si>
  <si>
    <t>Módulo de registro de tipo de proceso</t>
  </si>
  <si>
    <t>Medidas y packing</t>
  </si>
  <si>
    <t xml:space="preserve">Módulo de registro de tipos de medida de producto </t>
  </si>
  <si>
    <t>Módulo de registro de Packing</t>
  </si>
  <si>
    <t>Registro de Ventas</t>
  </si>
  <si>
    <t>Módulo de registro de la venta en el aplicativo</t>
  </si>
  <si>
    <t>Información de clientes, sastres y registro de tallas</t>
  </si>
  <si>
    <t>Módulo que recibe información detallada del cliente</t>
  </si>
  <si>
    <t>Módulo de asignación de sastres</t>
  </si>
  <si>
    <t>Módulo de registro de la ficha de medidas por beneficiario</t>
  </si>
  <si>
    <t>Semana 3</t>
  </si>
  <si>
    <t>Registro de ficha de medidas</t>
  </si>
  <si>
    <t>Control de calidad y distribución</t>
  </si>
  <si>
    <t xml:space="preserve">Módulo de control de calidad de producto terminado </t>
  </si>
  <si>
    <t>Funcionalidades del módulo de proceso de distribución</t>
  </si>
  <si>
    <t>Ajuste de prenda</t>
  </si>
  <si>
    <t>Programa de visita de ajuste de prenda</t>
  </si>
  <si>
    <t>Feedback y ajustes finales</t>
  </si>
  <si>
    <t>Feedback general y ajustes menores para su aprobación</t>
  </si>
  <si>
    <t>Cierre de prototipado</t>
  </si>
  <si>
    <t>Aprobación del prototipo</t>
  </si>
  <si>
    <t>Construcción</t>
  </si>
  <si>
    <t>Desarrollo Módulo de Inicio de Sesión</t>
  </si>
  <si>
    <t>Pruebas Módulo de Inicio de Sesión</t>
  </si>
  <si>
    <t>Ciclo 1 - Pruebas - TIC</t>
  </si>
  <si>
    <t xml:space="preserve">Ciclo 1 - Pruebas - Usuario </t>
  </si>
  <si>
    <t>Ciclo 1 - Corrección</t>
  </si>
  <si>
    <t>Aceptación de Pruebas</t>
  </si>
  <si>
    <t>Desarrollo Módulo de Gestión de Usuario de Sistema</t>
  </si>
  <si>
    <t>Pruebas Módulo de Gestión de Usuario de Sistema</t>
  </si>
  <si>
    <t>Desarrollo Módulo de registro de perfil (cargo del personal)</t>
  </si>
  <si>
    <t>Pruebas Módulo de registro de perfil (cargo del personal)</t>
  </si>
  <si>
    <t>Desarrollo Módulo de asignación de accesos por perfil de cargo</t>
  </si>
  <si>
    <t>Pruebas Módulo de asignación de accesos por perfil de cargo</t>
  </si>
  <si>
    <t>Desarrollo Módulo de gestión del personal</t>
  </si>
  <si>
    <t>Pruebas Módulo de gestión del personal</t>
  </si>
  <si>
    <t>Desarrollo Módulo de registro de parámetros de medidas corporales</t>
  </si>
  <si>
    <t>Pruebas Módulo de registro de parámetros de medidas corporales</t>
  </si>
  <si>
    <t>Desarrollo Módulo de registro de talla</t>
  </si>
  <si>
    <t>Pruebas Módulo de registro de talla</t>
  </si>
  <si>
    <t>Desarrollo Módulo de registro de tipo de producto</t>
  </si>
  <si>
    <t>Pruebas Módulo de registro de tipo de producto</t>
  </si>
  <si>
    <t>Desarrollo Módulo de registro de tipo de negocio</t>
  </si>
  <si>
    <t>Pruebas Módulo de registro de tipo de negocio</t>
  </si>
  <si>
    <t>Desarrollo Módulo de registro de tipo de proceso</t>
  </si>
  <si>
    <t>Pruebas Módulo de registro de tipo de proceso</t>
  </si>
  <si>
    <t>Desarrollo Módulo de registro de tipos de medida de producto</t>
  </si>
  <si>
    <t>Pruebas Módulo de registro de tipos de medida de producto</t>
  </si>
  <si>
    <t>Desarrollo Módulo de registro de Packing</t>
  </si>
  <si>
    <t>Pruebas Módulo de registro de Packing</t>
  </si>
  <si>
    <t>Desarrollo Módulo de registro venta</t>
  </si>
  <si>
    <t>Pruebas Módulo de registro venta</t>
  </si>
  <si>
    <t>Desarrollo Módulo que recibe información detallada del cliente</t>
  </si>
  <si>
    <t>Pruebas Módulo que recibe información detallada del cliente</t>
  </si>
  <si>
    <t>Desarrollo Módulo de asignación de sastres</t>
  </si>
  <si>
    <t>Pruebas Módulo de asignación de sastres</t>
  </si>
  <si>
    <t>Desarrollo Módulo de registro de la ficha de medidas por beneficiario</t>
  </si>
  <si>
    <t>Pruebas Módulo de registro de la ficha de medidas por beneficiario</t>
  </si>
  <si>
    <t>Desarrollo Módulo de control de calidad de producto terminado</t>
  </si>
  <si>
    <t>Pruebas Módulo de control de calidad de producto terminado</t>
  </si>
  <si>
    <t>Desarrollo Funcionalidades del módulo de proceso de distribución</t>
  </si>
  <si>
    <t>Pruebas Funcionalidades del módulo de proceso de distribución</t>
  </si>
  <si>
    <t>Desarrollo Programa de visita de ajuste de prenda</t>
  </si>
  <si>
    <t>Pruebas Programa de visita de ajuste de prenda</t>
  </si>
  <si>
    <t>Desarrollo Funcionalidades Incluidas</t>
  </si>
  <si>
    <t>Desarrollo Cambio de contraseña al inicio de la primera sesión.</t>
  </si>
  <si>
    <t>Pruebas Cambio de contraseña al inicio de la primera sesión.</t>
  </si>
  <si>
    <t>Aprobación Cambio de contraseña al inicio de la primera sesión.</t>
  </si>
  <si>
    <t>Desarrollo Validación de firma de beneficiario</t>
  </si>
  <si>
    <t>Pruebas Validación de firma de beneficiario</t>
  </si>
  <si>
    <t>Aprobación Validación de firma de beneficiario</t>
  </si>
  <si>
    <t>Desarrollo ubicación del campo de tipo de entrega</t>
  </si>
  <si>
    <t>Pruebas ubicación del campo de tipo de entrega</t>
  </si>
  <si>
    <t>Aprobación ubicación del campo de tipo de entrega</t>
  </si>
  <si>
    <t>Desarrollo subsanación de arreglos</t>
  </si>
  <si>
    <t>Pruebas subsanación de arreglos</t>
  </si>
  <si>
    <t>Aprobación subsanación de arreglos</t>
  </si>
  <si>
    <t>Desarrollo inclusión motivo de rechazo en módulo Control de calidad</t>
  </si>
  <si>
    <t>Pruebas inclusión motivo de rechazo en módulo Control de calidad</t>
  </si>
  <si>
    <t>Aprobación inclusión motivo de rechazo en módulo Control de calidad</t>
  </si>
  <si>
    <t>Desarrollo opciones de accesos en español</t>
  </si>
  <si>
    <t>Pruebas opciones de accesos en español</t>
  </si>
  <si>
    <t>Aprobación opciones de accesos en español</t>
  </si>
  <si>
    <t>Desarrollo Campo de embalaje en el modulo de ventas</t>
  </si>
  <si>
    <t>Pruebas Campo de embalaje en el modulo de ventas</t>
  </si>
  <si>
    <t>Aprobación Campo de embalaje en el modulo de ventas</t>
  </si>
  <si>
    <t xml:space="preserve">Desarrollo Modificación de ubicación de sucursal </t>
  </si>
  <si>
    <t xml:space="preserve">Pruebas Modificación de ubicación de sucursal </t>
  </si>
  <si>
    <t xml:space="preserve">Aprobación Modificación de ubicación de sucursal </t>
  </si>
  <si>
    <t>Desarrollo cambio de nombre de en detalle de recojo de excedentes</t>
  </si>
  <si>
    <t>Pruebas cambio de nombre de en detalle de recojo de excedentes</t>
  </si>
  <si>
    <t>Aprobación cambio de nombre de en detalle de recojo de excedentes</t>
  </si>
  <si>
    <t>Eliminar las pestañas "Registrar usuarios que no existen" y "sustituir beneficiarios"</t>
  </si>
  <si>
    <t>Pruebas Eliminar las pestañas "Registrar usuarios que no existen" y "sustituir 
beneficiarios"</t>
  </si>
  <si>
    <t>Aprobación Eliminar las pestañas "Registrar usuarios que no existen" y "sustituir 
beneficiarios"</t>
  </si>
  <si>
    <t>Desarrollo cambio de nombre de "packings generados" a "Packing List“</t>
  </si>
  <si>
    <t>Pruebas cambio de nombre de "packings generados" a "Packing List“</t>
  </si>
  <si>
    <t>Aprobación cambio de nombre de "packings generados" a "Packing List“</t>
  </si>
  <si>
    <t>Desarrollo Funcionalidades Adicionales</t>
  </si>
  <si>
    <t>Desarrollo Carga masiva de cuadro de medidas de prenda terminada</t>
  </si>
  <si>
    <t>Pruebas Carga masiva de cuadro de medidas de prenda terminada</t>
  </si>
  <si>
    <t>Aprobación Carga masiva de cuadro de medidas de prenda terminada</t>
  </si>
  <si>
    <t>Desarrollo Aprobaciones de cuadro de medidas de prenda terminada.</t>
  </si>
  <si>
    <t>Pruebas Aprobaciones de cuadro de medidas de prenda terminada.</t>
  </si>
  <si>
    <t>Aprobación Aprobaciones de cuadro de medidas de prenda terminada.</t>
  </si>
  <si>
    <t>Desarrollo Carga masiva de cuadro de ubicación de tallas por medida corporal</t>
  </si>
  <si>
    <t>Pruebas Carga masiva de cuadro de ubicación de tallas por medida corporal</t>
  </si>
  <si>
    <t>Aprobación Carga masiva de cuadro de ubicación de tallas por medida corporal</t>
  </si>
  <si>
    <t>Desarrollo Aprobaciones de cuadro de ubicación de tallas por medida corporal</t>
  </si>
  <si>
    <t>Pruebas Aprobaciones de cuadro de ubicación de tallas por medida corporal</t>
  </si>
  <si>
    <t>Aprobación Aprobaciones de cuadro de ubicación de tallas por medida corporal</t>
  </si>
  <si>
    <t xml:space="preserve">Desarrollo Offline de la carga de beneficiarios para que el sastre tome medidas.
</t>
  </si>
  <si>
    <t>Pruebas Offline de la carga de beneficiarios para que el sastre tome medidas.</t>
  </si>
  <si>
    <t>Aprobación Offline de la carga de beneficiarios para que el sastre tome medidas.</t>
  </si>
  <si>
    <t xml:space="preserve">Desarrollo Offline de la toma de medidas
</t>
  </si>
  <si>
    <t xml:space="preserve">Pruebas Offline de la toma de medidas
</t>
  </si>
  <si>
    <t xml:space="preserve">Aprobación Offline de la toma de medidas
</t>
  </si>
  <si>
    <t xml:space="preserve">Desarrollo Pantalla de medidas corporales solo por medida y no consolidando todas las medidas.
</t>
  </si>
  <si>
    <t xml:space="preserve">Pruebas Pantalla de medidas corporales solo por medida y no consolidando todas las medidas.
</t>
  </si>
  <si>
    <t xml:space="preserve">Aprobación Pantalla de medidas corporales solo por medida y no consolidando todas las medidas.
</t>
  </si>
  <si>
    <t xml:space="preserve">Desarrollo Agregar botones de aprobar y rechazar (cualitativo y medidas)
</t>
  </si>
  <si>
    <t xml:space="preserve">Pruebas Agregar botones de aprobar y rechazar (cualitativo y medidas)
</t>
  </si>
  <si>
    <t xml:space="preserve">Aprobación Agregar botones de aprobar y rechazar (cualitativo y medidas)
</t>
  </si>
  <si>
    <t xml:space="preserve">Desarrollo Diseño de consulta de proyecto
</t>
  </si>
  <si>
    <t xml:space="preserve">Pruebas Diseño de consulta de proyecto
</t>
  </si>
  <si>
    <t xml:space="preserve">Aprobación Diseño de consulta de proyecto
</t>
  </si>
  <si>
    <t xml:space="preserve">Desarrollo Notificaciones de aprobaciones si una prenda está rechazada
</t>
  </si>
  <si>
    <t xml:space="preserve">Pruebas Notificaciones de aprobaciones si una prenda está rechazada
</t>
  </si>
  <si>
    <t xml:space="preserve">Aprobación Notificaciones de aprobaciones si una prenda está rechazada
</t>
  </si>
  <si>
    <t>Desarrollo Cambio de color en estado en proceso en control de calidad</t>
  </si>
  <si>
    <t>Pruebas Cambio de color en estado en proceso en control de calidad</t>
  </si>
  <si>
    <t>Aprobación Cambio de color en estado en proceso en control de calidad</t>
  </si>
  <si>
    <t>Desarrollo Envio de correo a operador logistico</t>
  </si>
  <si>
    <t>Pruebas  Envio de correo a operador logistico</t>
  </si>
  <si>
    <t>Aprobación Envio de correo a operador logistico</t>
  </si>
  <si>
    <t>Desarrollo Cambio de estado en el modulo de excedentes</t>
  </si>
  <si>
    <t>Pruebas Cambio de estado en el modulo de excedentes</t>
  </si>
  <si>
    <t>Aprobación Cambio de estado en el modulo de excedentes</t>
  </si>
  <si>
    <t>Desarrollo Envio de notificación al registrar un faltante</t>
  </si>
  <si>
    <t>Pruebas Envio de notificación al registrar un faltante</t>
  </si>
  <si>
    <t>Aprobación Envio de notificación al registrar un faltante</t>
  </si>
  <si>
    <t>Pase a Producción</t>
  </si>
  <si>
    <t xml:space="preserve">Preparacion Final </t>
  </si>
  <si>
    <t>Marcha Blanca</t>
  </si>
  <si>
    <t>Cierre - Go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</si>
</sst>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8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i/>
      <sz val="8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6365C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0F243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FB0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D0D0D"/>
      </top>
      <bottom style="thin">
        <color rgb="FF0D0D0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top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3" fillId="5" borderId="4" xfId="0" applyFont="1" applyFill="1" applyBorder="1"/>
    <xf numFmtId="8" fontId="4" fillId="5" borderId="4" xfId="0" applyNumberFormat="1" applyFont="1" applyFill="1" applyBorder="1"/>
    <xf numFmtId="14" fontId="4" fillId="5" borderId="4" xfId="0" applyNumberFormat="1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5" fillId="0" borderId="4" xfId="0" applyFont="1" applyBorder="1"/>
    <xf numFmtId="0" fontId="6" fillId="0" borderId="4" xfId="0" applyFont="1" applyBorder="1"/>
    <xf numFmtId="14" fontId="6" fillId="0" borderId="4" xfId="0" applyNumberFormat="1" applyFont="1" applyBorder="1"/>
    <xf numFmtId="9" fontId="4" fillId="6" borderId="4" xfId="0" applyNumberFormat="1" applyFont="1" applyFill="1" applyBorder="1"/>
    <xf numFmtId="0" fontId="4" fillId="0" borderId="4" xfId="0" applyFont="1" applyBorder="1" applyAlignment="1">
      <alignment horizontal="left" indent="1"/>
    </xf>
    <xf numFmtId="0" fontId="4" fillId="0" borderId="4" xfId="0" applyFont="1" applyBorder="1"/>
    <xf numFmtId="14" fontId="4" fillId="0" borderId="4" xfId="0" applyNumberFormat="1" applyFont="1" applyBorder="1"/>
    <xf numFmtId="9" fontId="4" fillId="6" borderId="5" xfId="0" applyNumberFormat="1" applyFont="1" applyFill="1" applyBorder="1"/>
    <xf numFmtId="0" fontId="4" fillId="7" borderId="4" xfId="0" applyFont="1" applyFill="1" applyBorder="1" applyAlignment="1">
      <alignment horizontal="left" indent="1"/>
    </xf>
    <xf numFmtId="0" fontId="4" fillId="7" borderId="4" xfId="0" applyFont="1" applyFill="1" applyBorder="1"/>
    <xf numFmtId="14" fontId="4" fillId="7" borderId="4" xfId="0" applyNumberFormat="1" applyFont="1" applyFill="1" applyBorder="1"/>
    <xf numFmtId="0" fontId="3" fillId="7" borderId="4" xfId="0" applyFont="1" applyFill="1" applyBorder="1" applyAlignment="1">
      <alignment horizontal="left" indent="1"/>
    </xf>
    <xf numFmtId="0" fontId="7" fillId="7" borderId="4" xfId="0" applyFont="1" applyFill="1" applyBorder="1" applyAlignment="1">
      <alignment horizontal="left" indent="2"/>
    </xf>
    <xf numFmtId="9" fontId="4" fillId="0" borderId="4" xfId="0" applyNumberFormat="1" applyFont="1" applyBorder="1"/>
    <xf numFmtId="9" fontId="4" fillId="0" borderId="5" xfId="0" applyNumberFormat="1" applyFont="1" applyBorder="1"/>
    <xf numFmtId="0" fontId="3" fillId="7" borderId="4" xfId="0" applyFont="1" applyFill="1" applyBorder="1" applyAlignment="1">
      <alignment horizontal="left" indent="2"/>
    </xf>
    <xf numFmtId="0" fontId="4" fillId="7" borderId="4" xfId="0" applyFont="1" applyFill="1" applyBorder="1" applyAlignment="1">
      <alignment horizontal="left" indent="3"/>
    </xf>
    <xf numFmtId="0" fontId="4" fillId="7" borderId="4" xfId="0" applyFont="1" applyFill="1" applyBorder="1" applyAlignment="1">
      <alignment horizontal="left" indent="4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indent="2"/>
    </xf>
    <xf numFmtId="0" fontId="4" fillId="0" borderId="4" xfId="0" applyFont="1" applyBorder="1" applyAlignment="1">
      <alignment horizontal="left" indent="3"/>
    </xf>
    <xf numFmtId="14" fontId="4" fillId="0" borderId="0" xfId="0" applyNumberFormat="1" applyFont="1"/>
    <xf numFmtId="0" fontId="4" fillId="7" borderId="6" xfId="0" applyFont="1" applyFill="1" applyBorder="1" applyAlignment="1">
      <alignment horizontal="left" indent="3"/>
    </xf>
    <xf numFmtId="0" fontId="6" fillId="0" borderId="6" xfId="0" applyFont="1" applyBorder="1"/>
    <xf numFmtId="14" fontId="6" fillId="0" borderId="6" xfId="0" applyNumberFormat="1" applyFont="1" applyBorder="1"/>
    <xf numFmtId="9" fontId="4" fillId="0" borderId="6" xfId="0" applyNumberFormat="1" applyFont="1" applyBorder="1"/>
    <xf numFmtId="9" fontId="4" fillId="0" borderId="7" xfId="0" applyNumberFormat="1" applyFont="1" applyBorder="1"/>
    <xf numFmtId="0" fontId="5" fillId="0" borderId="8" xfId="0" applyFont="1" applyBorder="1" applyAlignment="1">
      <alignment horizontal="left" indent="2"/>
    </xf>
    <xf numFmtId="0" fontId="6" fillId="0" borderId="8" xfId="0" applyFont="1" applyBorder="1"/>
    <xf numFmtId="14" fontId="6" fillId="0" borderId="8" xfId="0" applyNumberFormat="1" applyFont="1" applyBorder="1"/>
    <xf numFmtId="0" fontId="4" fillId="0" borderId="6" xfId="0" applyFont="1" applyBorder="1" applyAlignment="1">
      <alignment horizontal="left" indent="3"/>
    </xf>
    <xf numFmtId="0" fontId="0" fillId="0" borderId="9" xfId="0" applyBorder="1"/>
    <xf numFmtId="0" fontId="4" fillId="0" borderId="10" xfId="0" applyFont="1" applyBorder="1" applyAlignment="1">
      <alignment horizontal="left" indent="3"/>
    </xf>
    <xf numFmtId="0" fontId="4" fillId="0" borderId="0" xfId="0" applyFont="1" applyAlignment="1">
      <alignment horizontal="left" indent="3"/>
    </xf>
    <xf numFmtId="0" fontId="4" fillId="0" borderId="8" xfId="0" applyFont="1" applyBorder="1" applyAlignment="1">
      <alignment horizontal="left" indent="3"/>
    </xf>
    <xf numFmtId="0" fontId="4" fillId="0" borderId="8" xfId="0" applyFont="1" applyBorder="1" applyAlignment="1">
      <alignment horizontal="left" wrapText="1" indent="3"/>
    </xf>
    <xf numFmtId="9" fontId="4" fillId="8" borderId="4" xfId="0" applyNumberFormat="1" applyFont="1" applyFill="1" applyBorder="1"/>
    <xf numFmtId="9" fontId="4" fillId="8" borderId="5" xfId="0" applyNumberFormat="1" applyFont="1" applyFill="1" applyBorder="1"/>
    <xf numFmtId="14" fontId="6" fillId="0" borderId="5" xfId="0" applyNumberFormat="1" applyFont="1" applyBorder="1"/>
    <xf numFmtId="9" fontId="4" fillId="0" borderId="11" xfId="0" applyNumberFormat="1" applyFont="1" applyBorder="1"/>
    <xf numFmtId="9" fontId="4" fillId="0" borderId="12" xfId="0" applyNumberFormat="1" applyFont="1" applyBorder="1"/>
    <xf numFmtId="9" fontId="4" fillId="0" borderId="0" xfId="0" applyNumberFormat="1" applyFont="1"/>
    <xf numFmtId="9" fontId="4" fillId="0" borderId="9" xfId="0" applyNumberFormat="1" applyFont="1" applyBorder="1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6324-00EA-4655-B1CB-F11614CF2357}">
  <dimension ref="A1:F253"/>
  <sheetViews>
    <sheetView tabSelected="1" topLeftCell="A139" zoomScale="130" zoomScaleNormal="130" workbookViewId="0">
      <selection activeCell="G148" sqref="G148"/>
    </sheetView>
  </sheetViews>
  <sheetFormatPr baseColWidth="10" defaultRowHeight="15" x14ac:dyDescent="0.25"/>
  <cols>
    <col min="1" max="1" width="73.7109375" bestFit="1" customWidth="1"/>
    <col min="2" max="2" width="9.42578125" bestFit="1" customWidth="1"/>
    <col min="3" max="4" width="9" bestFit="1" customWidth="1"/>
    <col min="5" max="5" width="5.28515625" bestFit="1" customWidth="1"/>
    <col min="6" max="6" width="5" bestFit="1" customWidth="1"/>
  </cols>
  <sheetData>
    <row r="1" spans="1:6" x14ac:dyDescent="0.25">
      <c r="A1" s="1"/>
      <c r="B1" s="1"/>
      <c r="C1" s="53" t="s">
        <v>0</v>
      </c>
      <c r="D1" s="54"/>
      <c r="E1" s="55" t="s">
        <v>1</v>
      </c>
      <c r="F1" s="56"/>
    </row>
    <row r="2" spans="1:6" x14ac:dyDescent="0.25">
      <c r="A2" s="2" t="s">
        <v>2</v>
      </c>
      <c r="B2" s="3" t="s">
        <v>3</v>
      </c>
      <c r="C2" s="4" t="s">
        <v>4</v>
      </c>
      <c r="D2" s="4" t="s">
        <v>5</v>
      </c>
      <c r="E2" s="3" t="s">
        <v>6</v>
      </c>
      <c r="F2" s="3" t="s">
        <v>7</v>
      </c>
    </row>
    <row r="3" spans="1:6" x14ac:dyDescent="0.25">
      <c r="A3" s="5" t="s">
        <v>8</v>
      </c>
      <c r="B3" s="6">
        <v>54453</v>
      </c>
      <c r="C3" s="7">
        <v>45717</v>
      </c>
      <c r="D3" s="7">
        <v>46185</v>
      </c>
      <c r="E3" s="8"/>
      <c r="F3" s="9"/>
    </row>
    <row r="4" spans="1:6" x14ac:dyDescent="0.25">
      <c r="A4" s="10" t="s">
        <v>9</v>
      </c>
      <c r="B4" s="11"/>
      <c r="C4" s="12">
        <v>45717</v>
      </c>
      <c r="D4" s="12">
        <v>46044</v>
      </c>
      <c r="E4" s="13">
        <v>1</v>
      </c>
      <c r="F4" s="13">
        <v>1</v>
      </c>
    </row>
    <row r="5" spans="1:6" x14ac:dyDescent="0.25">
      <c r="A5" s="14" t="s">
        <v>10</v>
      </c>
      <c r="B5" s="15"/>
      <c r="C5" s="16">
        <v>45717</v>
      </c>
      <c r="D5" s="16">
        <v>45961</v>
      </c>
      <c r="E5" s="13">
        <v>1</v>
      </c>
      <c r="F5" s="17">
        <v>1</v>
      </c>
    </row>
    <row r="6" spans="1:6" x14ac:dyDescent="0.25">
      <c r="A6" s="18" t="s">
        <v>11</v>
      </c>
      <c r="B6" s="19" t="s">
        <v>12</v>
      </c>
      <c r="C6" s="16">
        <v>45717</v>
      </c>
      <c r="D6" s="16">
        <v>45961</v>
      </c>
      <c r="E6" s="13">
        <v>1</v>
      </c>
      <c r="F6" s="13">
        <v>1</v>
      </c>
    </row>
    <row r="7" spans="1:6" x14ac:dyDescent="0.25">
      <c r="A7" s="18" t="s">
        <v>13</v>
      </c>
      <c r="B7" s="19"/>
      <c r="C7" s="20">
        <v>45961</v>
      </c>
      <c r="D7" s="20">
        <v>46009</v>
      </c>
      <c r="E7" s="13">
        <v>1</v>
      </c>
      <c r="F7" s="17">
        <v>1</v>
      </c>
    </row>
    <row r="8" spans="1:6" x14ac:dyDescent="0.25">
      <c r="A8" s="10" t="s">
        <v>14</v>
      </c>
      <c r="B8" s="11"/>
      <c r="C8" s="12">
        <v>46035</v>
      </c>
      <c r="D8" s="12">
        <v>46044</v>
      </c>
      <c r="E8" s="13">
        <v>1</v>
      </c>
      <c r="F8" s="13">
        <v>1</v>
      </c>
    </row>
    <row r="9" spans="1:6" x14ac:dyDescent="0.25">
      <c r="A9" s="21" t="s">
        <v>15</v>
      </c>
      <c r="B9" s="19" t="s">
        <v>16</v>
      </c>
      <c r="C9" s="20">
        <v>46035</v>
      </c>
      <c r="D9" s="20">
        <v>46044</v>
      </c>
      <c r="E9" s="13">
        <v>1</v>
      </c>
      <c r="F9" s="13">
        <v>1</v>
      </c>
    </row>
    <row r="10" spans="1:6" x14ac:dyDescent="0.25">
      <c r="A10" s="22" t="s">
        <v>17</v>
      </c>
      <c r="B10" s="19" t="s">
        <v>16</v>
      </c>
      <c r="C10" s="20">
        <v>46035</v>
      </c>
      <c r="D10" s="20">
        <v>46041</v>
      </c>
      <c r="E10" s="13">
        <v>1</v>
      </c>
      <c r="F10" s="17">
        <v>1</v>
      </c>
    </row>
    <row r="11" spans="1:6" x14ac:dyDescent="0.25">
      <c r="A11" s="22" t="s">
        <v>18</v>
      </c>
      <c r="B11" s="19" t="s">
        <v>16</v>
      </c>
      <c r="C11" s="20">
        <v>46041</v>
      </c>
      <c r="D11" s="20">
        <v>46042</v>
      </c>
      <c r="E11" s="13">
        <v>1</v>
      </c>
      <c r="F11" s="17">
        <v>1</v>
      </c>
    </row>
    <row r="12" spans="1:6" x14ac:dyDescent="0.25">
      <c r="A12" s="22" t="s">
        <v>19</v>
      </c>
      <c r="B12" s="19"/>
      <c r="C12" s="20">
        <v>46042</v>
      </c>
      <c r="D12" s="20">
        <v>46044</v>
      </c>
      <c r="E12" s="13">
        <v>1</v>
      </c>
      <c r="F12" s="17">
        <v>1</v>
      </c>
    </row>
    <row r="13" spans="1:6" x14ac:dyDescent="0.25">
      <c r="A13" s="10" t="s">
        <v>20</v>
      </c>
      <c r="B13" s="11"/>
      <c r="C13" s="12">
        <v>46070</v>
      </c>
      <c r="D13" s="12">
        <v>46070</v>
      </c>
      <c r="E13" s="13">
        <v>1</v>
      </c>
      <c r="F13" s="17">
        <v>1</v>
      </c>
    </row>
    <row r="14" spans="1:6" x14ac:dyDescent="0.25">
      <c r="A14" s="18" t="s">
        <v>21</v>
      </c>
      <c r="B14" s="19" t="s">
        <v>22</v>
      </c>
      <c r="C14" s="20">
        <v>46071</v>
      </c>
      <c r="D14" s="20">
        <v>46087</v>
      </c>
      <c r="E14" s="13">
        <v>1</v>
      </c>
      <c r="F14" s="17">
        <v>1</v>
      </c>
    </row>
    <row r="15" spans="1:6" x14ac:dyDescent="0.25">
      <c r="A15" s="25" t="s">
        <v>23</v>
      </c>
      <c r="B15" s="19"/>
      <c r="C15" s="20">
        <v>46071</v>
      </c>
      <c r="D15" s="20">
        <v>46076</v>
      </c>
      <c r="E15" s="13">
        <v>1</v>
      </c>
      <c r="F15" s="17">
        <v>1</v>
      </c>
    </row>
    <row r="16" spans="1:6" x14ac:dyDescent="0.25">
      <c r="A16" s="26" t="s">
        <v>24</v>
      </c>
      <c r="B16" s="19"/>
      <c r="C16" s="20">
        <v>46071</v>
      </c>
      <c r="D16" s="20">
        <v>46071</v>
      </c>
      <c r="E16" s="13">
        <v>1</v>
      </c>
      <c r="F16" s="17">
        <v>1</v>
      </c>
    </row>
    <row r="17" spans="1:6" x14ac:dyDescent="0.25">
      <c r="A17" s="27" t="s">
        <v>25</v>
      </c>
      <c r="B17" s="19"/>
      <c r="C17" s="20">
        <v>46071</v>
      </c>
      <c r="D17" s="20">
        <v>46071</v>
      </c>
      <c r="E17" s="13">
        <v>1</v>
      </c>
      <c r="F17" s="17">
        <v>1</v>
      </c>
    </row>
    <row r="18" spans="1:6" x14ac:dyDescent="0.25">
      <c r="A18" s="27" t="s">
        <v>26</v>
      </c>
      <c r="B18" s="19"/>
      <c r="C18" s="20">
        <v>46071</v>
      </c>
      <c r="D18" s="20">
        <v>46071</v>
      </c>
      <c r="E18" s="13">
        <v>1</v>
      </c>
      <c r="F18" s="17">
        <v>1</v>
      </c>
    </row>
    <row r="19" spans="1:6" x14ac:dyDescent="0.25">
      <c r="A19" s="27" t="s">
        <v>27</v>
      </c>
      <c r="B19" s="19"/>
      <c r="C19" s="20">
        <v>46071</v>
      </c>
      <c r="D19" s="20">
        <v>46071</v>
      </c>
      <c r="E19" s="13">
        <v>1</v>
      </c>
      <c r="F19" s="17">
        <v>1</v>
      </c>
    </row>
    <row r="20" spans="1:6" x14ac:dyDescent="0.25">
      <c r="A20" s="27" t="s">
        <v>28</v>
      </c>
      <c r="B20" s="19"/>
      <c r="C20" s="20">
        <v>46071</v>
      </c>
      <c r="D20" s="20">
        <v>46071</v>
      </c>
      <c r="E20" s="13">
        <v>1</v>
      </c>
      <c r="F20" s="17">
        <v>1</v>
      </c>
    </row>
    <row r="21" spans="1:6" x14ac:dyDescent="0.25">
      <c r="A21" s="26" t="s">
        <v>29</v>
      </c>
      <c r="B21" s="19"/>
      <c r="C21" s="20">
        <v>46073</v>
      </c>
      <c r="D21" s="20">
        <v>46073</v>
      </c>
      <c r="E21" s="13">
        <v>1</v>
      </c>
      <c r="F21" s="17">
        <v>1</v>
      </c>
    </row>
    <row r="22" spans="1:6" x14ac:dyDescent="0.25">
      <c r="A22" s="27" t="s">
        <v>30</v>
      </c>
      <c r="B22" s="19"/>
      <c r="C22" s="20">
        <v>46073</v>
      </c>
      <c r="D22" s="20">
        <v>46073</v>
      </c>
      <c r="E22" s="13">
        <v>1</v>
      </c>
      <c r="F22" s="17">
        <v>1</v>
      </c>
    </row>
    <row r="23" spans="1:6" x14ac:dyDescent="0.25">
      <c r="A23" s="27" t="s">
        <v>31</v>
      </c>
      <c r="B23" s="19"/>
      <c r="C23" s="20">
        <v>46073</v>
      </c>
      <c r="D23" s="20">
        <v>46073</v>
      </c>
      <c r="E23" s="13">
        <v>1</v>
      </c>
      <c r="F23" s="17">
        <v>1</v>
      </c>
    </row>
    <row r="24" spans="1:6" x14ac:dyDescent="0.25">
      <c r="A24" s="26" t="s">
        <v>32</v>
      </c>
      <c r="B24" s="19"/>
      <c r="C24" s="20">
        <v>46076</v>
      </c>
      <c r="D24" s="20">
        <v>46076</v>
      </c>
      <c r="E24" s="13">
        <v>1</v>
      </c>
      <c r="F24" s="17">
        <v>1</v>
      </c>
    </row>
    <row r="25" spans="1:6" x14ac:dyDescent="0.25">
      <c r="A25" s="27" t="s">
        <v>33</v>
      </c>
      <c r="B25" s="19"/>
      <c r="C25" s="20">
        <v>46076</v>
      </c>
      <c r="D25" s="20">
        <v>46076</v>
      </c>
      <c r="E25" s="13">
        <v>1</v>
      </c>
      <c r="F25" s="17">
        <v>1</v>
      </c>
    </row>
    <row r="26" spans="1:6" x14ac:dyDescent="0.25">
      <c r="A26" s="27" t="s">
        <v>34</v>
      </c>
      <c r="B26" s="19"/>
      <c r="C26" s="20">
        <v>46076</v>
      </c>
      <c r="D26" s="20">
        <v>46076</v>
      </c>
      <c r="E26" s="13">
        <v>1</v>
      </c>
      <c r="F26" s="17">
        <v>1</v>
      </c>
    </row>
    <row r="27" spans="1:6" x14ac:dyDescent="0.25">
      <c r="A27" s="25" t="s">
        <v>35</v>
      </c>
      <c r="B27" s="19"/>
      <c r="C27" s="20">
        <v>46077</v>
      </c>
      <c r="D27" s="20">
        <v>46083</v>
      </c>
      <c r="E27" s="13">
        <v>1</v>
      </c>
      <c r="F27" s="17">
        <v>1</v>
      </c>
    </row>
    <row r="28" spans="1:6" x14ac:dyDescent="0.25">
      <c r="A28" s="26" t="s">
        <v>36</v>
      </c>
      <c r="B28" s="19"/>
      <c r="C28" s="20">
        <v>46077</v>
      </c>
      <c r="D28" s="20">
        <v>46077</v>
      </c>
      <c r="E28" s="13">
        <v>1</v>
      </c>
      <c r="F28" s="17">
        <v>1</v>
      </c>
    </row>
    <row r="29" spans="1:6" x14ac:dyDescent="0.25">
      <c r="A29" s="27" t="s">
        <v>37</v>
      </c>
      <c r="B29" s="19"/>
      <c r="C29" s="20">
        <v>46077</v>
      </c>
      <c r="D29" s="20">
        <v>46077</v>
      </c>
      <c r="E29" s="13">
        <v>1</v>
      </c>
      <c r="F29" s="17">
        <v>1</v>
      </c>
    </row>
    <row r="30" spans="1:6" x14ac:dyDescent="0.25">
      <c r="A30" s="27" t="s">
        <v>38</v>
      </c>
      <c r="B30" s="19"/>
      <c r="C30" s="20">
        <v>46077</v>
      </c>
      <c r="D30" s="20">
        <v>46077</v>
      </c>
      <c r="E30" s="13">
        <v>1</v>
      </c>
      <c r="F30" s="17">
        <v>1</v>
      </c>
    </row>
    <row r="31" spans="1:6" x14ac:dyDescent="0.25">
      <c r="A31" s="26" t="s">
        <v>39</v>
      </c>
      <c r="B31" s="19"/>
      <c r="C31" s="20">
        <v>46079</v>
      </c>
      <c r="D31" s="20">
        <v>46079</v>
      </c>
      <c r="E31" s="13">
        <v>1</v>
      </c>
      <c r="F31" s="17">
        <v>1</v>
      </c>
    </row>
    <row r="32" spans="1:6" x14ac:dyDescent="0.25">
      <c r="A32" s="27" t="s">
        <v>40</v>
      </c>
      <c r="B32" s="19"/>
      <c r="C32" s="20">
        <v>46079</v>
      </c>
      <c r="D32" s="20">
        <v>46079</v>
      </c>
      <c r="E32" s="13">
        <v>1</v>
      </c>
      <c r="F32" s="17">
        <v>1</v>
      </c>
    </row>
    <row r="33" spans="1:6" x14ac:dyDescent="0.25">
      <c r="A33" s="27" t="s">
        <v>41</v>
      </c>
      <c r="B33" s="19"/>
      <c r="C33" s="20">
        <v>46079</v>
      </c>
      <c r="D33" s="20">
        <v>46079</v>
      </c>
      <c r="E33" s="13">
        <v>1</v>
      </c>
      <c r="F33" s="17">
        <v>1</v>
      </c>
    </row>
    <row r="34" spans="1:6" x14ac:dyDescent="0.25">
      <c r="A34" s="26" t="s">
        <v>42</v>
      </c>
      <c r="B34" s="19"/>
      <c r="C34" s="20">
        <v>46080</v>
      </c>
      <c r="D34" s="20">
        <v>46080</v>
      </c>
      <c r="E34" s="13">
        <v>1</v>
      </c>
      <c r="F34" s="17">
        <v>1</v>
      </c>
    </row>
    <row r="35" spans="1:6" x14ac:dyDescent="0.25">
      <c r="A35" s="27" t="s">
        <v>43</v>
      </c>
      <c r="B35" s="19"/>
      <c r="C35" s="20">
        <v>46080</v>
      </c>
      <c r="D35" s="20">
        <v>46080</v>
      </c>
      <c r="E35" s="13">
        <v>1</v>
      </c>
      <c r="F35" s="17">
        <v>1</v>
      </c>
    </row>
    <row r="36" spans="1:6" x14ac:dyDescent="0.25">
      <c r="A36" s="26" t="s">
        <v>44</v>
      </c>
      <c r="B36" s="19"/>
      <c r="C36" s="20">
        <v>46083</v>
      </c>
      <c r="D36" s="20">
        <v>46083</v>
      </c>
      <c r="E36" s="13">
        <v>1</v>
      </c>
      <c r="F36" s="17">
        <v>1</v>
      </c>
    </row>
    <row r="37" spans="1:6" x14ac:dyDescent="0.25">
      <c r="A37" s="27" t="s">
        <v>45</v>
      </c>
      <c r="B37" s="19"/>
      <c r="C37" s="20">
        <v>46083</v>
      </c>
      <c r="D37" s="20">
        <v>46083</v>
      </c>
      <c r="E37" s="13">
        <v>1</v>
      </c>
      <c r="F37" s="17">
        <v>1</v>
      </c>
    </row>
    <row r="38" spans="1:6" x14ac:dyDescent="0.25">
      <c r="A38" s="27" t="s">
        <v>46</v>
      </c>
      <c r="B38" s="19"/>
      <c r="C38" s="20">
        <v>46083</v>
      </c>
      <c r="D38" s="20">
        <v>46083</v>
      </c>
      <c r="E38" s="13">
        <v>1</v>
      </c>
      <c r="F38" s="17">
        <v>1</v>
      </c>
    </row>
    <row r="39" spans="1:6" x14ac:dyDescent="0.25">
      <c r="A39" s="27" t="s">
        <v>47</v>
      </c>
      <c r="B39" s="19"/>
      <c r="C39" s="20">
        <v>46083</v>
      </c>
      <c r="D39" s="20">
        <v>46083</v>
      </c>
      <c r="E39" s="13">
        <v>1</v>
      </c>
      <c r="F39" s="17">
        <v>1</v>
      </c>
    </row>
    <row r="40" spans="1:6" x14ac:dyDescent="0.25">
      <c r="A40" s="25" t="s">
        <v>48</v>
      </c>
      <c r="B40" s="19"/>
      <c r="C40" s="20">
        <v>46084</v>
      </c>
      <c r="D40" s="20">
        <v>46087</v>
      </c>
      <c r="E40" s="13">
        <v>1</v>
      </c>
      <c r="F40" s="17">
        <v>1</v>
      </c>
    </row>
    <row r="41" spans="1:6" x14ac:dyDescent="0.25">
      <c r="A41" s="26" t="s">
        <v>49</v>
      </c>
      <c r="B41" s="19"/>
      <c r="C41" s="20">
        <v>46084</v>
      </c>
      <c r="D41" s="20">
        <v>46084</v>
      </c>
      <c r="E41" s="13">
        <v>1</v>
      </c>
      <c r="F41" s="17">
        <v>1</v>
      </c>
    </row>
    <row r="42" spans="1:6" x14ac:dyDescent="0.25">
      <c r="A42" s="27" t="s">
        <v>47</v>
      </c>
      <c r="B42" s="19"/>
      <c r="C42" s="20">
        <v>46084</v>
      </c>
      <c r="D42" s="20">
        <v>46084</v>
      </c>
      <c r="E42" s="13">
        <v>1</v>
      </c>
      <c r="F42" s="17">
        <v>1</v>
      </c>
    </row>
    <row r="43" spans="1:6" x14ac:dyDescent="0.25">
      <c r="A43" s="26" t="s">
        <v>50</v>
      </c>
      <c r="B43" s="19"/>
      <c r="C43" s="20">
        <v>46085</v>
      </c>
      <c r="D43" s="20">
        <v>46085</v>
      </c>
      <c r="E43" s="13">
        <v>1</v>
      </c>
      <c r="F43" s="17">
        <v>1</v>
      </c>
    </row>
    <row r="44" spans="1:6" x14ac:dyDescent="0.25">
      <c r="A44" s="27" t="s">
        <v>51</v>
      </c>
      <c r="B44" s="19"/>
      <c r="C44" s="20">
        <v>46085</v>
      </c>
      <c r="D44" s="20">
        <v>46085</v>
      </c>
      <c r="E44" s="13">
        <v>1</v>
      </c>
      <c r="F44" s="17">
        <v>1</v>
      </c>
    </row>
    <row r="45" spans="1:6" x14ac:dyDescent="0.25">
      <c r="A45" s="27" t="s">
        <v>52</v>
      </c>
      <c r="B45" s="19"/>
      <c r="C45" s="20">
        <v>46085</v>
      </c>
      <c r="D45" s="20">
        <v>46085</v>
      </c>
      <c r="E45" s="13">
        <v>1</v>
      </c>
      <c r="F45" s="17">
        <v>1</v>
      </c>
    </row>
    <row r="46" spans="1:6" x14ac:dyDescent="0.25">
      <c r="A46" s="26" t="s">
        <v>53</v>
      </c>
      <c r="B46" s="19"/>
      <c r="C46" s="20">
        <v>46086</v>
      </c>
      <c r="D46" s="20">
        <v>46086</v>
      </c>
      <c r="E46" s="13">
        <v>1</v>
      </c>
      <c r="F46" s="17">
        <v>1</v>
      </c>
    </row>
    <row r="47" spans="1:6" x14ac:dyDescent="0.25">
      <c r="A47" s="27" t="s">
        <v>54</v>
      </c>
      <c r="B47" s="19"/>
      <c r="C47" s="20">
        <v>46086</v>
      </c>
      <c r="D47" s="20">
        <v>46086</v>
      </c>
      <c r="E47" s="13">
        <v>1</v>
      </c>
      <c r="F47" s="17">
        <v>1</v>
      </c>
    </row>
    <row r="48" spans="1:6" x14ac:dyDescent="0.25">
      <c r="A48" s="26" t="s">
        <v>55</v>
      </c>
      <c r="B48" s="19"/>
      <c r="C48" s="20">
        <v>46087</v>
      </c>
      <c r="D48" s="20">
        <v>46087</v>
      </c>
      <c r="E48" s="13">
        <v>1</v>
      </c>
      <c r="F48" s="17">
        <v>1</v>
      </c>
    </row>
    <row r="49" spans="1:6" x14ac:dyDescent="0.25">
      <c r="A49" s="27" t="s">
        <v>56</v>
      </c>
      <c r="B49" s="19"/>
      <c r="C49" s="20">
        <v>46087</v>
      </c>
      <c r="D49" s="20">
        <v>46087</v>
      </c>
      <c r="E49" s="13">
        <v>1</v>
      </c>
      <c r="F49" s="17">
        <v>1</v>
      </c>
    </row>
    <row r="50" spans="1:6" x14ac:dyDescent="0.25">
      <c r="A50" s="26" t="s">
        <v>57</v>
      </c>
      <c r="B50" s="19"/>
      <c r="C50" s="20">
        <v>46087</v>
      </c>
      <c r="D50" s="20">
        <v>46087</v>
      </c>
      <c r="E50" s="13">
        <v>1</v>
      </c>
      <c r="F50" s="17">
        <v>1</v>
      </c>
    </row>
    <row r="51" spans="1:6" x14ac:dyDescent="0.25">
      <c r="A51" s="27" t="s">
        <v>58</v>
      </c>
      <c r="B51" s="19"/>
      <c r="C51" s="20">
        <v>46087</v>
      </c>
      <c r="D51" s="20">
        <v>46087</v>
      </c>
      <c r="E51" s="13">
        <v>1</v>
      </c>
      <c r="F51" s="17">
        <v>1</v>
      </c>
    </row>
    <row r="52" spans="1:6" x14ac:dyDescent="0.25">
      <c r="A52" s="28" t="s">
        <v>59</v>
      </c>
      <c r="B52" s="11"/>
      <c r="C52" s="12">
        <v>46090</v>
      </c>
      <c r="D52" s="12">
        <v>46157</v>
      </c>
      <c r="E52" s="23">
        <f>+AVERAGE(E53,E59,E65,E71,E77,E83,E89,E95,E101,E107,E113,E119,E125,E131,E137,E143,E149,E155,E161)</f>
        <v>0.89473684210526316</v>
      </c>
      <c r="F52" s="23">
        <f>+AVERAGE(F53,F59,F65,F71,F77,F83,F89,F95,F101,F107,F113,F119,F125,F131,F137,F143,F149,F155,F161)</f>
        <v>0.89473684210526316</v>
      </c>
    </row>
    <row r="53" spans="1:6" x14ac:dyDescent="0.25">
      <c r="A53" s="29" t="s">
        <v>60</v>
      </c>
      <c r="B53" s="11"/>
      <c r="C53" s="12">
        <v>46090</v>
      </c>
      <c r="D53" s="12">
        <v>46094</v>
      </c>
      <c r="E53" s="13">
        <v>1</v>
      </c>
      <c r="F53" s="47">
        <v>1</v>
      </c>
    </row>
    <row r="54" spans="1:6" x14ac:dyDescent="0.25">
      <c r="A54" s="29" t="s">
        <v>61</v>
      </c>
      <c r="B54" s="11"/>
      <c r="C54" s="12">
        <v>46092</v>
      </c>
      <c r="D54" s="12">
        <v>46101</v>
      </c>
      <c r="E54" s="46">
        <v>1</v>
      </c>
      <c r="F54" s="47">
        <v>1</v>
      </c>
    </row>
    <row r="55" spans="1:6" x14ac:dyDescent="0.25">
      <c r="A55" s="30" t="s">
        <v>62</v>
      </c>
      <c r="B55" s="11"/>
      <c r="C55" s="12">
        <v>46092</v>
      </c>
      <c r="D55" s="12">
        <v>46094</v>
      </c>
      <c r="E55" s="46">
        <v>1</v>
      </c>
      <c r="F55" s="47">
        <v>1</v>
      </c>
    </row>
    <row r="56" spans="1:6" x14ac:dyDescent="0.25">
      <c r="A56" s="30" t="s">
        <v>63</v>
      </c>
      <c r="B56" s="11"/>
      <c r="C56" s="12">
        <v>46097</v>
      </c>
      <c r="D56" s="12">
        <v>46099</v>
      </c>
      <c r="E56" s="46">
        <v>1</v>
      </c>
      <c r="F56" s="47">
        <v>1</v>
      </c>
    </row>
    <row r="57" spans="1:6" x14ac:dyDescent="0.25">
      <c r="A57" s="30" t="s">
        <v>64</v>
      </c>
      <c r="B57" s="11"/>
      <c r="C57" s="12">
        <v>46092</v>
      </c>
      <c r="D57" s="12">
        <v>46101</v>
      </c>
      <c r="E57" s="46">
        <v>1</v>
      </c>
      <c r="F57" s="47">
        <v>1</v>
      </c>
    </row>
    <row r="58" spans="1:6" x14ac:dyDescent="0.25">
      <c r="A58" s="30" t="s">
        <v>65</v>
      </c>
      <c r="B58" s="11"/>
      <c r="C58" s="12">
        <v>46101</v>
      </c>
      <c r="D58" s="12">
        <v>46101</v>
      </c>
      <c r="E58" s="46">
        <v>1</v>
      </c>
      <c r="F58" s="47">
        <v>1</v>
      </c>
    </row>
    <row r="59" spans="1:6" x14ac:dyDescent="0.25">
      <c r="A59" s="29" t="s">
        <v>66</v>
      </c>
      <c r="B59" s="11"/>
      <c r="C59" s="12">
        <v>46090</v>
      </c>
      <c r="D59" s="12">
        <v>46094</v>
      </c>
      <c r="E59" s="46">
        <v>1</v>
      </c>
      <c r="F59" s="47">
        <v>1</v>
      </c>
    </row>
    <row r="60" spans="1:6" x14ac:dyDescent="0.25">
      <c r="A60" s="29" t="s">
        <v>67</v>
      </c>
      <c r="B60" s="11"/>
      <c r="C60" s="12">
        <v>46092</v>
      </c>
      <c r="D60" s="12">
        <v>46101</v>
      </c>
      <c r="E60" s="46">
        <v>1</v>
      </c>
      <c r="F60" s="47">
        <v>1</v>
      </c>
    </row>
    <row r="61" spans="1:6" x14ac:dyDescent="0.25">
      <c r="A61" s="30" t="s">
        <v>62</v>
      </c>
      <c r="B61" s="11"/>
      <c r="C61" s="12">
        <v>46092</v>
      </c>
      <c r="D61" s="12">
        <v>46094</v>
      </c>
      <c r="E61" s="46">
        <v>1</v>
      </c>
      <c r="F61" s="47">
        <v>1</v>
      </c>
    </row>
    <row r="62" spans="1:6" x14ac:dyDescent="0.25">
      <c r="A62" s="30" t="s">
        <v>63</v>
      </c>
      <c r="B62" s="11"/>
      <c r="C62" s="12">
        <v>46097</v>
      </c>
      <c r="D62" s="12">
        <v>46099</v>
      </c>
      <c r="E62" s="46">
        <v>1</v>
      </c>
      <c r="F62" s="47">
        <v>0</v>
      </c>
    </row>
    <row r="63" spans="1:6" x14ac:dyDescent="0.25">
      <c r="A63" s="30" t="s">
        <v>64</v>
      </c>
      <c r="B63" s="11"/>
      <c r="C63" s="12">
        <v>46092</v>
      </c>
      <c r="D63" s="12">
        <v>46101</v>
      </c>
      <c r="E63" s="46">
        <v>1</v>
      </c>
      <c r="F63" s="47">
        <v>1</v>
      </c>
    </row>
    <row r="64" spans="1:6" x14ac:dyDescent="0.25">
      <c r="A64" s="30" t="s">
        <v>65</v>
      </c>
      <c r="B64" s="11"/>
      <c r="C64" s="12">
        <v>46101</v>
      </c>
      <c r="D64" s="12">
        <v>46101</v>
      </c>
      <c r="E64" s="46">
        <v>1</v>
      </c>
      <c r="F64" s="47">
        <v>1</v>
      </c>
    </row>
    <row r="65" spans="1:6" x14ac:dyDescent="0.25">
      <c r="A65" s="29" t="s">
        <v>68</v>
      </c>
      <c r="B65" s="11"/>
      <c r="C65" s="12">
        <v>46097</v>
      </c>
      <c r="D65" s="12">
        <v>46101</v>
      </c>
      <c r="E65" s="46">
        <v>1</v>
      </c>
      <c r="F65" s="47">
        <v>1</v>
      </c>
    </row>
    <row r="66" spans="1:6" x14ac:dyDescent="0.25">
      <c r="A66" s="29" t="s">
        <v>69</v>
      </c>
      <c r="B66" s="11"/>
      <c r="C66" s="12">
        <v>46099</v>
      </c>
      <c r="D66" s="12">
        <v>46108</v>
      </c>
      <c r="E66" s="23">
        <f>+AVERAGE(E67:E70)</f>
        <v>0.5</v>
      </c>
      <c r="F66" s="23">
        <f>+AVERAGE(F67:F70)</f>
        <v>0.5</v>
      </c>
    </row>
    <row r="67" spans="1:6" x14ac:dyDescent="0.25">
      <c r="A67" s="30" t="s">
        <v>62</v>
      </c>
      <c r="B67" s="11"/>
      <c r="C67" s="12">
        <v>46099</v>
      </c>
      <c r="D67" s="12">
        <v>46101</v>
      </c>
      <c r="E67" s="46">
        <v>1</v>
      </c>
      <c r="F67" s="47">
        <v>1</v>
      </c>
    </row>
    <row r="68" spans="1:6" x14ac:dyDescent="0.25">
      <c r="A68" s="30" t="s">
        <v>63</v>
      </c>
      <c r="B68" s="11"/>
      <c r="C68" s="12">
        <v>46104</v>
      </c>
      <c r="D68" s="12">
        <v>46106</v>
      </c>
      <c r="E68" s="46">
        <v>1</v>
      </c>
      <c r="F68" s="47">
        <v>1</v>
      </c>
    </row>
    <row r="69" spans="1:6" x14ac:dyDescent="0.25">
      <c r="A69" s="30" t="s">
        <v>64</v>
      </c>
      <c r="B69" s="11"/>
      <c r="C69" s="12">
        <v>46099</v>
      </c>
      <c r="D69" s="12">
        <v>46108</v>
      </c>
      <c r="E69" s="23">
        <v>0</v>
      </c>
      <c r="F69" s="24">
        <v>0</v>
      </c>
    </row>
    <row r="70" spans="1:6" x14ac:dyDescent="0.25">
      <c r="A70" s="30" t="s">
        <v>65</v>
      </c>
      <c r="B70" s="11"/>
      <c r="C70" s="12">
        <v>46108</v>
      </c>
      <c r="D70" s="12">
        <v>46108</v>
      </c>
      <c r="E70" s="23">
        <v>0</v>
      </c>
      <c r="F70" s="24">
        <v>0</v>
      </c>
    </row>
    <row r="71" spans="1:6" x14ac:dyDescent="0.25">
      <c r="A71" s="29" t="s">
        <v>70</v>
      </c>
      <c r="B71" s="11"/>
      <c r="C71" s="12">
        <v>46097</v>
      </c>
      <c r="D71" s="12">
        <v>46101</v>
      </c>
      <c r="E71" s="46">
        <v>1</v>
      </c>
      <c r="F71" s="47">
        <v>1</v>
      </c>
    </row>
    <row r="72" spans="1:6" x14ac:dyDescent="0.25">
      <c r="A72" s="29" t="s">
        <v>71</v>
      </c>
      <c r="B72" s="11"/>
      <c r="C72" s="12">
        <v>46099</v>
      </c>
      <c r="D72" s="12">
        <v>46108</v>
      </c>
      <c r="E72" s="23">
        <f>+AVERAGE(E73:E76)</f>
        <v>0.5</v>
      </c>
      <c r="F72" s="23">
        <f>+AVERAGE(F73:F76)</f>
        <v>0.5</v>
      </c>
    </row>
    <row r="73" spans="1:6" x14ac:dyDescent="0.25">
      <c r="A73" s="26" t="s">
        <v>62</v>
      </c>
      <c r="B73" s="11"/>
      <c r="C73" s="12">
        <v>46099</v>
      </c>
      <c r="D73" s="12">
        <v>46101</v>
      </c>
      <c r="E73" s="46">
        <v>1</v>
      </c>
      <c r="F73" s="47">
        <v>1</v>
      </c>
    </row>
    <row r="74" spans="1:6" x14ac:dyDescent="0.25">
      <c r="A74" s="26" t="s">
        <v>63</v>
      </c>
      <c r="B74" s="11"/>
      <c r="C74" s="12">
        <v>46104</v>
      </c>
      <c r="D74" s="12">
        <v>46106</v>
      </c>
      <c r="E74" s="46">
        <v>1</v>
      </c>
      <c r="F74" s="47">
        <v>1</v>
      </c>
    </row>
    <row r="75" spans="1:6" x14ac:dyDescent="0.25">
      <c r="A75" s="26" t="s">
        <v>64</v>
      </c>
      <c r="B75" s="11"/>
      <c r="C75" s="12">
        <v>46099</v>
      </c>
      <c r="D75" s="12">
        <v>46108</v>
      </c>
      <c r="E75" s="23">
        <v>0</v>
      </c>
      <c r="F75" s="24">
        <v>0</v>
      </c>
    </row>
    <row r="76" spans="1:6" x14ac:dyDescent="0.25">
      <c r="A76" s="26" t="s">
        <v>65</v>
      </c>
      <c r="B76" s="11"/>
      <c r="C76" s="12">
        <v>46108</v>
      </c>
      <c r="D76" s="12">
        <v>46108</v>
      </c>
      <c r="E76" s="23">
        <v>0</v>
      </c>
      <c r="F76" s="24">
        <v>0</v>
      </c>
    </row>
    <row r="77" spans="1:6" x14ac:dyDescent="0.25">
      <c r="A77" s="29" t="s">
        <v>72</v>
      </c>
      <c r="B77" s="11"/>
      <c r="C77" s="12">
        <v>46104</v>
      </c>
      <c r="D77" s="12">
        <v>46108</v>
      </c>
      <c r="E77" s="46">
        <v>1</v>
      </c>
      <c r="F77" s="47">
        <v>1</v>
      </c>
    </row>
    <row r="78" spans="1:6" x14ac:dyDescent="0.25">
      <c r="A78" s="29" t="s">
        <v>73</v>
      </c>
      <c r="B78" s="11"/>
      <c r="C78" s="12">
        <v>46106</v>
      </c>
      <c r="D78" s="12">
        <v>46122</v>
      </c>
      <c r="E78" s="23">
        <f>+AVERAGE(E79:E82)</f>
        <v>0.5</v>
      </c>
      <c r="F78" s="23">
        <f>+AVERAGE(F79:F82)</f>
        <v>0.5</v>
      </c>
    </row>
    <row r="79" spans="1:6" x14ac:dyDescent="0.25">
      <c r="A79" s="26" t="s">
        <v>62</v>
      </c>
      <c r="B79" s="11"/>
      <c r="C79" s="12">
        <v>46106</v>
      </c>
      <c r="D79" s="12">
        <v>46108</v>
      </c>
      <c r="E79" s="46">
        <v>1</v>
      </c>
      <c r="F79" s="47">
        <v>1</v>
      </c>
    </row>
    <row r="80" spans="1:6" x14ac:dyDescent="0.25">
      <c r="A80" s="26" t="s">
        <v>63</v>
      </c>
      <c r="B80" s="11"/>
      <c r="C80" s="12">
        <v>46111</v>
      </c>
      <c r="D80" s="12">
        <v>46113</v>
      </c>
      <c r="E80" s="46">
        <v>1</v>
      </c>
      <c r="F80" s="47">
        <v>1</v>
      </c>
    </row>
    <row r="81" spans="1:6" x14ac:dyDescent="0.25">
      <c r="A81" s="26" t="s">
        <v>64</v>
      </c>
      <c r="B81" s="11"/>
      <c r="C81" s="12">
        <v>46106</v>
      </c>
      <c r="D81" s="12">
        <v>46122</v>
      </c>
      <c r="E81" s="23">
        <v>0</v>
      </c>
      <c r="F81" s="24">
        <v>0</v>
      </c>
    </row>
    <row r="82" spans="1:6" x14ac:dyDescent="0.25">
      <c r="A82" s="26" t="s">
        <v>65</v>
      </c>
      <c r="B82" s="11"/>
      <c r="C82" s="12">
        <v>46122</v>
      </c>
      <c r="D82" s="12">
        <v>46122</v>
      </c>
      <c r="E82" s="23">
        <v>0</v>
      </c>
      <c r="F82" s="24">
        <v>0</v>
      </c>
    </row>
    <row r="83" spans="1:6" x14ac:dyDescent="0.25">
      <c r="A83" s="29" t="s">
        <v>74</v>
      </c>
      <c r="B83" s="11"/>
      <c r="C83" s="12">
        <v>46111</v>
      </c>
      <c r="D83" s="12">
        <v>46122</v>
      </c>
      <c r="E83" s="46">
        <v>1</v>
      </c>
      <c r="F83" s="47">
        <v>1</v>
      </c>
    </row>
    <row r="84" spans="1:6" x14ac:dyDescent="0.25">
      <c r="A84" s="29" t="s">
        <v>75</v>
      </c>
      <c r="B84" s="11"/>
      <c r="C84" s="12">
        <v>46120</v>
      </c>
      <c r="D84" s="12">
        <v>46129</v>
      </c>
      <c r="E84" s="46">
        <f>+AVERAGE(E85:E88)</f>
        <v>1</v>
      </c>
      <c r="F84" s="46">
        <f>+AVERAGE(F85:F88)</f>
        <v>1</v>
      </c>
    </row>
    <row r="85" spans="1:6" x14ac:dyDescent="0.25">
      <c r="A85" s="26" t="s">
        <v>62</v>
      </c>
      <c r="B85" s="11"/>
      <c r="C85" s="12">
        <v>46120</v>
      </c>
      <c r="D85" s="12">
        <v>46122</v>
      </c>
      <c r="E85" s="46">
        <v>1</v>
      </c>
      <c r="F85" s="47">
        <v>1</v>
      </c>
    </row>
    <row r="86" spans="1:6" x14ac:dyDescent="0.25">
      <c r="A86" s="26" t="s">
        <v>63</v>
      </c>
      <c r="B86" s="11"/>
      <c r="C86" s="12">
        <v>46125</v>
      </c>
      <c r="D86" s="12">
        <v>46127</v>
      </c>
      <c r="E86" s="46">
        <v>1</v>
      </c>
      <c r="F86" s="47">
        <v>1</v>
      </c>
    </row>
    <row r="87" spans="1:6" x14ac:dyDescent="0.25">
      <c r="A87" s="26" t="s">
        <v>64</v>
      </c>
      <c r="B87" s="11"/>
      <c r="C87" s="12">
        <v>46120</v>
      </c>
      <c r="D87" s="12">
        <v>46129</v>
      </c>
      <c r="E87" s="46">
        <v>1</v>
      </c>
      <c r="F87" s="47">
        <v>1</v>
      </c>
    </row>
    <row r="88" spans="1:6" x14ac:dyDescent="0.25">
      <c r="A88" s="26" t="s">
        <v>65</v>
      </c>
      <c r="B88" s="11"/>
      <c r="C88" s="12">
        <v>46129</v>
      </c>
      <c r="D88" s="12">
        <v>46129</v>
      </c>
      <c r="E88" s="46">
        <v>1</v>
      </c>
      <c r="F88" s="47">
        <v>1</v>
      </c>
    </row>
    <row r="89" spans="1:6" x14ac:dyDescent="0.25">
      <c r="A89" s="29" t="s">
        <v>76</v>
      </c>
      <c r="B89" s="11"/>
      <c r="C89" s="12">
        <v>46111</v>
      </c>
      <c r="D89" s="12">
        <v>46122</v>
      </c>
      <c r="E89" s="46">
        <v>1</v>
      </c>
      <c r="F89" s="47">
        <v>1</v>
      </c>
    </row>
    <row r="90" spans="1:6" x14ac:dyDescent="0.25">
      <c r="A90" s="29" t="s">
        <v>77</v>
      </c>
      <c r="B90" s="11"/>
      <c r="C90" s="12">
        <v>46120</v>
      </c>
      <c r="D90" s="12">
        <v>46129</v>
      </c>
      <c r="E90" s="23">
        <v>0</v>
      </c>
      <c r="F90" s="24">
        <v>0</v>
      </c>
    </row>
    <row r="91" spans="1:6" x14ac:dyDescent="0.25">
      <c r="A91" s="26" t="s">
        <v>62</v>
      </c>
      <c r="B91" s="11"/>
      <c r="C91" s="12">
        <v>46120</v>
      </c>
      <c r="D91" s="12">
        <v>46122</v>
      </c>
      <c r="E91" s="46">
        <v>1</v>
      </c>
      <c r="F91" s="47">
        <v>1</v>
      </c>
    </row>
    <row r="92" spans="1:6" x14ac:dyDescent="0.25">
      <c r="A92" s="26" t="s">
        <v>63</v>
      </c>
      <c r="B92" s="11"/>
      <c r="C92" s="12">
        <v>46125</v>
      </c>
      <c r="D92" s="12">
        <v>46127</v>
      </c>
      <c r="E92" s="46">
        <v>1</v>
      </c>
      <c r="F92" s="47">
        <v>1</v>
      </c>
    </row>
    <row r="93" spans="1:6" x14ac:dyDescent="0.25">
      <c r="A93" s="26" t="s">
        <v>64</v>
      </c>
      <c r="B93" s="11"/>
      <c r="C93" s="12">
        <v>46120</v>
      </c>
      <c r="D93" s="12">
        <v>46129</v>
      </c>
      <c r="E93" s="23">
        <v>0</v>
      </c>
      <c r="F93" s="24">
        <v>0</v>
      </c>
    </row>
    <row r="94" spans="1:6" x14ac:dyDescent="0.25">
      <c r="A94" s="26" t="s">
        <v>65</v>
      </c>
      <c r="B94" s="11"/>
      <c r="C94" s="12">
        <v>46129</v>
      </c>
      <c r="D94" s="12">
        <v>46129</v>
      </c>
      <c r="E94" s="23">
        <v>0</v>
      </c>
      <c r="F94" s="24">
        <v>0</v>
      </c>
    </row>
    <row r="95" spans="1:6" x14ac:dyDescent="0.25">
      <c r="A95" s="29" t="s">
        <v>78</v>
      </c>
      <c r="B95" s="11"/>
      <c r="C95" s="12">
        <v>46111</v>
      </c>
      <c r="D95" s="12">
        <v>46122</v>
      </c>
      <c r="E95" s="46">
        <v>1</v>
      </c>
      <c r="F95" s="47">
        <v>1</v>
      </c>
    </row>
    <row r="96" spans="1:6" x14ac:dyDescent="0.25">
      <c r="A96" s="29" t="s">
        <v>79</v>
      </c>
      <c r="B96" s="11"/>
      <c r="C96" s="12">
        <v>46120</v>
      </c>
      <c r="D96" s="12">
        <v>46129</v>
      </c>
      <c r="E96" s="23">
        <f>+AVERAGE(E97:E100)</f>
        <v>0.5</v>
      </c>
      <c r="F96" s="23">
        <f>+AVERAGE(F97:F100)</f>
        <v>0.5</v>
      </c>
    </row>
    <row r="97" spans="1:6" x14ac:dyDescent="0.25">
      <c r="A97" s="26" t="s">
        <v>62</v>
      </c>
      <c r="B97" s="11"/>
      <c r="C97" s="12">
        <v>46120</v>
      </c>
      <c r="D97" s="12">
        <v>46122</v>
      </c>
      <c r="E97" s="46">
        <v>1</v>
      </c>
      <c r="F97" s="47">
        <v>1</v>
      </c>
    </row>
    <row r="98" spans="1:6" x14ac:dyDescent="0.25">
      <c r="A98" s="26" t="s">
        <v>63</v>
      </c>
      <c r="B98" s="11"/>
      <c r="C98" s="12">
        <v>46125</v>
      </c>
      <c r="D98" s="12">
        <v>46127</v>
      </c>
      <c r="E98" s="46">
        <v>1</v>
      </c>
      <c r="F98" s="47">
        <v>1</v>
      </c>
    </row>
    <row r="99" spans="1:6" x14ac:dyDescent="0.25">
      <c r="A99" s="26" t="s">
        <v>64</v>
      </c>
      <c r="B99" s="11"/>
      <c r="C99" s="12">
        <v>46120</v>
      </c>
      <c r="D99" s="12">
        <v>46129</v>
      </c>
      <c r="E99" s="23">
        <v>0</v>
      </c>
      <c r="F99" s="24">
        <v>0</v>
      </c>
    </row>
    <row r="100" spans="1:6" x14ac:dyDescent="0.25">
      <c r="A100" s="26" t="s">
        <v>65</v>
      </c>
      <c r="B100" s="11"/>
      <c r="C100" s="12">
        <v>46129</v>
      </c>
      <c r="D100" s="12">
        <v>46129</v>
      </c>
      <c r="E100" s="23">
        <v>0</v>
      </c>
      <c r="F100" s="24">
        <v>0</v>
      </c>
    </row>
    <row r="101" spans="1:6" x14ac:dyDescent="0.25">
      <c r="A101" s="29" t="s">
        <v>80</v>
      </c>
      <c r="B101" s="11"/>
      <c r="C101" s="12">
        <v>46125</v>
      </c>
      <c r="D101" s="12">
        <v>46129</v>
      </c>
      <c r="E101" s="46">
        <v>1</v>
      </c>
      <c r="F101" s="47">
        <v>1</v>
      </c>
    </row>
    <row r="102" spans="1:6" x14ac:dyDescent="0.25">
      <c r="A102" s="29" t="s">
        <v>81</v>
      </c>
      <c r="B102" s="11"/>
      <c r="C102" s="12">
        <v>46127</v>
      </c>
      <c r="D102" s="12">
        <v>46136</v>
      </c>
      <c r="E102" s="46">
        <f>+AVERAGE(E103:E106)</f>
        <v>1</v>
      </c>
      <c r="F102" s="46">
        <f>+AVERAGE(F103:F106)</f>
        <v>1</v>
      </c>
    </row>
    <row r="103" spans="1:6" x14ac:dyDescent="0.25">
      <c r="A103" s="26" t="s">
        <v>62</v>
      </c>
      <c r="B103" s="11"/>
      <c r="C103" s="12">
        <v>46127</v>
      </c>
      <c r="D103" s="12">
        <v>46129</v>
      </c>
      <c r="E103" s="46">
        <v>1</v>
      </c>
      <c r="F103" s="47">
        <v>1</v>
      </c>
    </row>
    <row r="104" spans="1:6" x14ac:dyDescent="0.25">
      <c r="A104" s="26" t="s">
        <v>63</v>
      </c>
      <c r="B104" s="11"/>
      <c r="C104" s="12">
        <v>46132</v>
      </c>
      <c r="D104" s="12">
        <v>46134</v>
      </c>
      <c r="E104" s="46">
        <v>1</v>
      </c>
      <c r="F104" s="47">
        <v>1</v>
      </c>
    </row>
    <row r="105" spans="1:6" x14ac:dyDescent="0.25">
      <c r="A105" s="26" t="s">
        <v>64</v>
      </c>
      <c r="B105" s="11"/>
      <c r="C105" s="12">
        <v>46127</v>
      </c>
      <c r="D105" s="12">
        <v>46136</v>
      </c>
      <c r="E105" s="46">
        <v>1</v>
      </c>
      <c r="F105" s="47">
        <v>1</v>
      </c>
    </row>
    <row r="106" spans="1:6" x14ac:dyDescent="0.25">
      <c r="A106" s="26" t="s">
        <v>65</v>
      </c>
      <c r="B106" s="11"/>
      <c r="C106" s="12">
        <v>46136</v>
      </c>
      <c r="D106" s="12">
        <v>46136</v>
      </c>
      <c r="E106" s="46">
        <v>1</v>
      </c>
      <c r="F106" s="47">
        <v>1</v>
      </c>
    </row>
    <row r="107" spans="1:6" x14ac:dyDescent="0.25">
      <c r="A107" s="29" t="s">
        <v>82</v>
      </c>
      <c r="B107" s="11"/>
      <c r="C107" s="12">
        <v>46125</v>
      </c>
      <c r="D107" s="12">
        <v>46129</v>
      </c>
      <c r="E107" s="46">
        <v>1</v>
      </c>
      <c r="F107" s="47">
        <v>1</v>
      </c>
    </row>
    <row r="108" spans="1:6" x14ac:dyDescent="0.25">
      <c r="A108" s="29" t="s">
        <v>83</v>
      </c>
      <c r="B108" s="11"/>
      <c r="C108" s="12">
        <v>46127</v>
      </c>
      <c r="D108" s="12">
        <v>46136</v>
      </c>
      <c r="E108" s="46">
        <f>+AVERAGE(E109:E112)</f>
        <v>1</v>
      </c>
      <c r="F108" s="46">
        <f>+AVERAGE(F109:F112)</f>
        <v>1</v>
      </c>
    </row>
    <row r="109" spans="1:6" x14ac:dyDescent="0.25">
      <c r="A109" s="26" t="s">
        <v>62</v>
      </c>
      <c r="B109" s="11"/>
      <c r="C109" s="12">
        <v>46127</v>
      </c>
      <c r="D109" s="12">
        <v>46129</v>
      </c>
      <c r="E109" s="46">
        <v>1</v>
      </c>
      <c r="F109" s="47">
        <v>1</v>
      </c>
    </row>
    <row r="110" spans="1:6" x14ac:dyDescent="0.25">
      <c r="A110" s="26" t="s">
        <v>63</v>
      </c>
      <c r="B110" s="11"/>
      <c r="C110" s="12">
        <v>46132</v>
      </c>
      <c r="D110" s="12">
        <v>46134</v>
      </c>
      <c r="E110" s="46">
        <v>1</v>
      </c>
      <c r="F110" s="46">
        <v>1</v>
      </c>
    </row>
    <row r="111" spans="1:6" x14ac:dyDescent="0.25">
      <c r="A111" s="26" t="s">
        <v>64</v>
      </c>
      <c r="B111" s="11"/>
      <c r="C111" s="12">
        <v>46127</v>
      </c>
      <c r="D111" s="12">
        <v>46136</v>
      </c>
      <c r="E111" s="46">
        <v>1</v>
      </c>
      <c r="F111" s="46">
        <v>1</v>
      </c>
    </row>
    <row r="112" spans="1:6" x14ac:dyDescent="0.25">
      <c r="A112" s="26" t="s">
        <v>65</v>
      </c>
      <c r="B112" s="11"/>
      <c r="C112" s="12">
        <v>46136</v>
      </c>
      <c r="D112" s="12">
        <v>46136</v>
      </c>
      <c r="E112" s="46">
        <v>1</v>
      </c>
      <c r="F112" s="46">
        <v>1</v>
      </c>
    </row>
    <row r="113" spans="1:6" x14ac:dyDescent="0.25">
      <c r="A113" s="29" t="s">
        <v>84</v>
      </c>
      <c r="B113" s="11"/>
      <c r="C113" s="12">
        <v>46125</v>
      </c>
      <c r="D113" s="12">
        <v>46129</v>
      </c>
      <c r="E113" s="46">
        <v>1</v>
      </c>
      <c r="F113" s="47">
        <v>1</v>
      </c>
    </row>
    <row r="114" spans="1:6" x14ac:dyDescent="0.25">
      <c r="A114" s="29" t="s">
        <v>85</v>
      </c>
      <c r="B114" s="11"/>
      <c r="C114" s="12">
        <v>46127</v>
      </c>
      <c r="D114" s="12">
        <v>46136</v>
      </c>
      <c r="E114" s="23">
        <v>0</v>
      </c>
      <c r="F114" s="24">
        <v>0</v>
      </c>
    </row>
    <row r="115" spans="1:6" x14ac:dyDescent="0.25">
      <c r="A115" s="26" t="s">
        <v>62</v>
      </c>
      <c r="B115" s="11"/>
      <c r="C115" s="12">
        <v>46127</v>
      </c>
      <c r="D115" s="12">
        <v>46129</v>
      </c>
      <c r="E115" s="46">
        <v>1</v>
      </c>
      <c r="F115" s="47">
        <v>1</v>
      </c>
    </row>
    <row r="116" spans="1:6" x14ac:dyDescent="0.25">
      <c r="A116" s="26" t="s">
        <v>63</v>
      </c>
      <c r="B116" s="11"/>
      <c r="C116" s="12">
        <v>46132</v>
      </c>
      <c r="D116" s="12">
        <v>46134</v>
      </c>
      <c r="E116" s="46">
        <v>1</v>
      </c>
      <c r="F116" s="47">
        <v>1</v>
      </c>
    </row>
    <row r="117" spans="1:6" x14ac:dyDescent="0.25">
      <c r="A117" s="26" t="s">
        <v>64</v>
      </c>
      <c r="B117" s="11"/>
      <c r="C117" s="12">
        <v>46127</v>
      </c>
      <c r="D117" s="12">
        <v>46136</v>
      </c>
      <c r="E117" s="23">
        <v>0</v>
      </c>
      <c r="F117" s="24">
        <v>0</v>
      </c>
    </row>
    <row r="118" spans="1:6" x14ac:dyDescent="0.25">
      <c r="A118" s="26" t="s">
        <v>65</v>
      </c>
      <c r="B118" s="11"/>
      <c r="C118" s="12">
        <v>46136</v>
      </c>
      <c r="D118" s="12">
        <v>46136</v>
      </c>
      <c r="E118" s="23">
        <v>0</v>
      </c>
      <c r="F118" s="24">
        <v>0</v>
      </c>
    </row>
    <row r="119" spans="1:6" x14ac:dyDescent="0.25">
      <c r="A119" s="29" t="s">
        <v>86</v>
      </c>
      <c r="B119" s="11"/>
      <c r="C119" s="12">
        <v>46125</v>
      </c>
      <c r="D119" s="12">
        <v>46129</v>
      </c>
      <c r="E119" s="46">
        <v>1</v>
      </c>
      <c r="F119" s="47">
        <v>1</v>
      </c>
    </row>
    <row r="120" spans="1:6" x14ac:dyDescent="0.25">
      <c r="A120" s="29" t="s">
        <v>87</v>
      </c>
      <c r="B120" s="11"/>
      <c r="C120" s="12">
        <v>46127</v>
      </c>
      <c r="D120" s="12">
        <v>46136</v>
      </c>
      <c r="E120" s="23">
        <v>0</v>
      </c>
      <c r="F120" s="24">
        <v>0</v>
      </c>
    </row>
    <row r="121" spans="1:6" x14ac:dyDescent="0.25">
      <c r="A121" s="26" t="s">
        <v>62</v>
      </c>
      <c r="B121" s="11"/>
      <c r="C121" s="12">
        <v>46127</v>
      </c>
      <c r="D121" s="12">
        <v>46129</v>
      </c>
      <c r="E121" s="23">
        <v>0</v>
      </c>
      <c r="F121" s="24">
        <v>0</v>
      </c>
    </row>
    <row r="122" spans="1:6" x14ac:dyDescent="0.25">
      <c r="A122" s="26" t="s">
        <v>63</v>
      </c>
      <c r="B122" s="11"/>
      <c r="C122" s="12">
        <v>46132</v>
      </c>
      <c r="D122" s="12">
        <v>46134</v>
      </c>
      <c r="E122" s="23">
        <v>0</v>
      </c>
      <c r="F122" s="24">
        <v>0</v>
      </c>
    </row>
    <row r="123" spans="1:6" x14ac:dyDescent="0.25">
      <c r="A123" s="26" t="s">
        <v>64</v>
      </c>
      <c r="B123" s="11"/>
      <c r="C123" s="12">
        <v>46127</v>
      </c>
      <c r="D123" s="12">
        <v>46136</v>
      </c>
      <c r="E123" s="23">
        <v>0</v>
      </c>
      <c r="F123" s="24">
        <v>0</v>
      </c>
    </row>
    <row r="124" spans="1:6" x14ac:dyDescent="0.25">
      <c r="A124" s="26" t="s">
        <v>65</v>
      </c>
      <c r="B124" s="11"/>
      <c r="C124" s="12">
        <v>46136</v>
      </c>
      <c r="D124" s="12">
        <v>46136</v>
      </c>
      <c r="E124" s="23">
        <v>0</v>
      </c>
      <c r="F124" s="24">
        <v>0</v>
      </c>
    </row>
    <row r="125" spans="1:6" x14ac:dyDescent="0.25">
      <c r="A125" s="29" t="s">
        <v>88</v>
      </c>
      <c r="B125" s="11"/>
      <c r="C125" s="12">
        <v>46132</v>
      </c>
      <c r="D125" s="12">
        <v>46136</v>
      </c>
      <c r="E125" s="46">
        <v>1</v>
      </c>
      <c r="F125" s="47">
        <v>1</v>
      </c>
    </row>
    <row r="126" spans="1:6" x14ac:dyDescent="0.25">
      <c r="A126" s="29" t="s">
        <v>89</v>
      </c>
      <c r="B126" s="11"/>
      <c r="C126" s="31">
        <v>46134</v>
      </c>
      <c r="D126" s="31">
        <v>46142</v>
      </c>
      <c r="E126" s="23">
        <f>+AVERAGE(E127:E130)</f>
        <v>0.5</v>
      </c>
      <c r="F126" s="23">
        <f>+AVERAGE(F127:F130)</f>
        <v>0.5</v>
      </c>
    </row>
    <row r="127" spans="1:6" x14ac:dyDescent="0.25">
      <c r="A127" s="26" t="s">
        <v>62</v>
      </c>
      <c r="B127" s="11"/>
      <c r="C127" s="12">
        <v>46134</v>
      </c>
      <c r="D127" s="12">
        <v>46136</v>
      </c>
      <c r="E127" s="46">
        <v>1</v>
      </c>
      <c r="F127" s="47">
        <v>1</v>
      </c>
    </row>
    <row r="128" spans="1:6" x14ac:dyDescent="0.25">
      <c r="A128" s="26" t="s">
        <v>63</v>
      </c>
      <c r="B128" s="11"/>
      <c r="C128" s="12">
        <v>46139</v>
      </c>
      <c r="D128" s="12">
        <v>46141</v>
      </c>
      <c r="E128" s="46">
        <v>1</v>
      </c>
      <c r="F128" s="47">
        <v>1</v>
      </c>
    </row>
    <row r="129" spans="1:6" x14ac:dyDescent="0.25">
      <c r="A129" s="26" t="s">
        <v>64</v>
      </c>
      <c r="B129" s="11"/>
      <c r="C129" s="12">
        <v>46134</v>
      </c>
      <c r="D129" s="12">
        <v>46142</v>
      </c>
      <c r="E129" s="23">
        <v>0</v>
      </c>
      <c r="F129" s="24">
        <v>0</v>
      </c>
    </row>
    <row r="130" spans="1:6" x14ac:dyDescent="0.25">
      <c r="A130" s="26" t="s">
        <v>65</v>
      </c>
      <c r="B130" s="11"/>
      <c r="C130" s="12">
        <v>46142</v>
      </c>
      <c r="D130" s="12">
        <v>46142</v>
      </c>
      <c r="E130" s="23">
        <v>0</v>
      </c>
      <c r="F130" s="24">
        <v>0</v>
      </c>
    </row>
    <row r="131" spans="1:6" x14ac:dyDescent="0.25">
      <c r="A131" s="29" t="s">
        <v>90</v>
      </c>
      <c r="B131" s="11"/>
      <c r="C131" s="12">
        <v>46132</v>
      </c>
      <c r="D131" s="12">
        <v>46136</v>
      </c>
      <c r="E131" s="46">
        <v>1</v>
      </c>
      <c r="F131" s="47">
        <v>1</v>
      </c>
    </row>
    <row r="132" spans="1:6" x14ac:dyDescent="0.25">
      <c r="A132" s="29" t="s">
        <v>91</v>
      </c>
      <c r="B132" s="11"/>
      <c r="C132" s="31">
        <v>46134</v>
      </c>
      <c r="D132" s="31">
        <v>46142</v>
      </c>
      <c r="E132" s="23">
        <v>0</v>
      </c>
      <c r="F132" s="24">
        <v>0</v>
      </c>
    </row>
    <row r="133" spans="1:6" x14ac:dyDescent="0.25">
      <c r="A133" s="26" t="s">
        <v>62</v>
      </c>
      <c r="B133" s="11"/>
      <c r="C133" s="12">
        <v>46134</v>
      </c>
      <c r="D133" s="12">
        <v>46136</v>
      </c>
      <c r="E133" s="46">
        <v>1</v>
      </c>
      <c r="F133" s="47">
        <v>1</v>
      </c>
    </row>
    <row r="134" spans="1:6" x14ac:dyDescent="0.25">
      <c r="A134" s="26" t="s">
        <v>63</v>
      </c>
      <c r="B134" s="11"/>
      <c r="C134" s="12">
        <v>46139</v>
      </c>
      <c r="D134" s="12">
        <v>46141</v>
      </c>
      <c r="E134" s="46">
        <v>1</v>
      </c>
      <c r="F134" s="47">
        <v>1</v>
      </c>
    </row>
    <row r="135" spans="1:6" x14ac:dyDescent="0.25">
      <c r="A135" s="26" t="s">
        <v>64</v>
      </c>
      <c r="B135" s="11"/>
      <c r="C135" s="12">
        <v>46134</v>
      </c>
      <c r="D135" s="12">
        <v>46142</v>
      </c>
      <c r="E135" s="23">
        <v>0</v>
      </c>
      <c r="F135" s="24">
        <v>0</v>
      </c>
    </row>
    <row r="136" spans="1:6" x14ac:dyDescent="0.25">
      <c r="A136" s="26" t="s">
        <v>65</v>
      </c>
      <c r="B136" s="11"/>
      <c r="C136" s="12">
        <v>46142</v>
      </c>
      <c r="D136" s="12">
        <v>46142</v>
      </c>
      <c r="E136" s="23">
        <v>0</v>
      </c>
      <c r="F136" s="24">
        <v>0</v>
      </c>
    </row>
    <row r="137" spans="1:6" x14ac:dyDescent="0.25">
      <c r="A137" s="29" t="s">
        <v>92</v>
      </c>
      <c r="B137" s="11"/>
      <c r="C137" s="12">
        <v>46139</v>
      </c>
      <c r="D137" s="12">
        <v>46142</v>
      </c>
      <c r="E137" s="46">
        <v>1</v>
      </c>
      <c r="F137" s="47">
        <v>1</v>
      </c>
    </row>
    <row r="138" spans="1:6" x14ac:dyDescent="0.25">
      <c r="A138" s="29" t="s">
        <v>93</v>
      </c>
      <c r="B138" s="11"/>
      <c r="C138" s="31">
        <v>46141</v>
      </c>
      <c r="D138" s="31">
        <v>46150</v>
      </c>
      <c r="E138" s="23">
        <f>+AVERAGE(E139:E142)</f>
        <v>0.5</v>
      </c>
      <c r="F138" s="23">
        <f>+AVERAGE(F139:F142)</f>
        <v>0.5</v>
      </c>
    </row>
    <row r="139" spans="1:6" x14ac:dyDescent="0.25">
      <c r="A139" s="26" t="s">
        <v>62</v>
      </c>
      <c r="B139" s="11"/>
      <c r="C139" s="12">
        <v>46141</v>
      </c>
      <c r="D139" s="12">
        <v>46142</v>
      </c>
      <c r="E139" s="46">
        <v>1</v>
      </c>
      <c r="F139" s="47">
        <v>1</v>
      </c>
    </row>
    <row r="140" spans="1:6" x14ac:dyDescent="0.25">
      <c r="A140" s="26" t="s">
        <v>63</v>
      </c>
      <c r="B140" s="11"/>
      <c r="C140" s="12">
        <v>46146</v>
      </c>
      <c r="D140" s="12">
        <v>46148</v>
      </c>
      <c r="E140" s="46">
        <v>1</v>
      </c>
      <c r="F140" s="47">
        <v>1</v>
      </c>
    </row>
    <row r="141" spans="1:6" x14ac:dyDescent="0.25">
      <c r="A141" s="26" t="s">
        <v>64</v>
      </c>
      <c r="B141" s="11"/>
      <c r="C141" s="12">
        <v>46141</v>
      </c>
      <c r="D141" s="12">
        <v>46150</v>
      </c>
      <c r="E141" s="23">
        <v>0</v>
      </c>
      <c r="F141" s="24">
        <v>0</v>
      </c>
    </row>
    <row r="142" spans="1:6" x14ac:dyDescent="0.25">
      <c r="A142" s="26" t="s">
        <v>65</v>
      </c>
      <c r="B142" s="11"/>
      <c r="C142" s="12">
        <v>46150</v>
      </c>
      <c r="D142" s="12">
        <v>46150</v>
      </c>
      <c r="E142" s="23">
        <v>0</v>
      </c>
      <c r="F142" s="24">
        <v>0</v>
      </c>
    </row>
    <row r="143" spans="1:6" x14ac:dyDescent="0.25">
      <c r="A143" s="29" t="s">
        <v>94</v>
      </c>
      <c r="B143" s="11"/>
      <c r="C143" s="12">
        <v>46139</v>
      </c>
      <c r="D143" s="12">
        <v>46142</v>
      </c>
      <c r="E143" s="46">
        <v>1</v>
      </c>
      <c r="F143" s="47">
        <v>1</v>
      </c>
    </row>
    <row r="144" spans="1:6" x14ac:dyDescent="0.25">
      <c r="A144" s="29" t="s">
        <v>95</v>
      </c>
      <c r="B144" s="11"/>
      <c r="C144" s="31">
        <v>46141</v>
      </c>
      <c r="D144" s="31">
        <v>46150</v>
      </c>
      <c r="E144" s="23">
        <v>0</v>
      </c>
      <c r="F144" s="24">
        <v>0</v>
      </c>
    </row>
    <row r="145" spans="1:6" x14ac:dyDescent="0.25">
      <c r="A145" s="26" t="s">
        <v>62</v>
      </c>
      <c r="B145" s="11"/>
      <c r="C145" s="12">
        <v>46141</v>
      </c>
      <c r="D145" s="12">
        <v>46142</v>
      </c>
      <c r="E145" s="23">
        <v>0</v>
      </c>
      <c r="F145" s="24">
        <v>0</v>
      </c>
    </row>
    <row r="146" spans="1:6" x14ac:dyDescent="0.25">
      <c r="A146" s="26" t="s">
        <v>63</v>
      </c>
      <c r="B146" s="11"/>
      <c r="C146" s="12">
        <v>46146</v>
      </c>
      <c r="D146" s="12">
        <v>46148</v>
      </c>
      <c r="E146" s="23">
        <v>0</v>
      </c>
      <c r="F146" s="24">
        <v>0</v>
      </c>
    </row>
    <row r="147" spans="1:6" x14ac:dyDescent="0.25">
      <c r="A147" s="26" t="s">
        <v>64</v>
      </c>
      <c r="B147" s="11"/>
      <c r="C147" s="12">
        <v>46141</v>
      </c>
      <c r="D147" s="12">
        <v>46150</v>
      </c>
      <c r="E147" s="23">
        <v>0</v>
      </c>
      <c r="F147" s="24">
        <v>0</v>
      </c>
    </row>
    <row r="148" spans="1:6" x14ac:dyDescent="0.25">
      <c r="A148" s="26" t="s">
        <v>65</v>
      </c>
      <c r="B148" s="11"/>
      <c r="C148" s="12">
        <v>46150</v>
      </c>
      <c r="D148" s="12">
        <v>46150</v>
      </c>
      <c r="E148" s="23">
        <v>0</v>
      </c>
      <c r="F148" s="24">
        <v>0</v>
      </c>
    </row>
    <row r="149" spans="1:6" x14ac:dyDescent="0.25">
      <c r="A149" s="29" t="s">
        <v>96</v>
      </c>
      <c r="B149" s="11"/>
      <c r="C149" s="12">
        <v>46146</v>
      </c>
      <c r="D149" s="12">
        <v>46150</v>
      </c>
      <c r="E149" s="46">
        <v>1</v>
      </c>
      <c r="F149" s="47">
        <v>1</v>
      </c>
    </row>
    <row r="150" spans="1:6" x14ac:dyDescent="0.25">
      <c r="A150" s="29" t="s">
        <v>97</v>
      </c>
      <c r="B150" s="11"/>
      <c r="C150" s="12">
        <v>46148</v>
      </c>
      <c r="D150" s="12">
        <v>46157</v>
      </c>
      <c r="E150" s="23">
        <v>0</v>
      </c>
      <c r="F150" s="24">
        <v>0</v>
      </c>
    </row>
    <row r="151" spans="1:6" x14ac:dyDescent="0.25">
      <c r="A151" s="26" t="s">
        <v>62</v>
      </c>
      <c r="B151" s="11"/>
      <c r="C151" s="12">
        <v>46148</v>
      </c>
      <c r="D151" s="12">
        <v>46150</v>
      </c>
      <c r="E151" s="23">
        <v>0</v>
      </c>
      <c r="F151" s="24">
        <v>0</v>
      </c>
    </row>
    <row r="152" spans="1:6" x14ac:dyDescent="0.25">
      <c r="A152" s="26" t="s">
        <v>63</v>
      </c>
      <c r="B152" s="11"/>
      <c r="C152" s="12">
        <v>46153</v>
      </c>
      <c r="D152" s="12">
        <v>46155</v>
      </c>
      <c r="E152" s="23">
        <v>0</v>
      </c>
      <c r="F152" s="24">
        <v>0</v>
      </c>
    </row>
    <row r="153" spans="1:6" x14ac:dyDescent="0.25">
      <c r="A153" s="26" t="s">
        <v>64</v>
      </c>
      <c r="B153" s="11"/>
      <c r="C153" s="12">
        <v>46148</v>
      </c>
      <c r="D153" s="12">
        <v>46157</v>
      </c>
      <c r="E153" s="23">
        <v>0</v>
      </c>
      <c r="F153" s="24">
        <v>0</v>
      </c>
    </row>
    <row r="154" spans="1:6" x14ac:dyDescent="0.25">
      <c r="A154" s="26" t="s">
        <v>65</v>
      </c>
      <c r="B154" s="11"/>
      <c r="C154" s="12">
        <v>46157</v>
      </c>
      <c r="D154" s="12">
        <v>46157</v>
      </c>
      <c r="E154" s="23">
        <v>0</v>
      </c>
      <c r="F154" s="24">
        <v>0</v>
      </c>
    </row>
    <row r="155" spans="1:6" x14ac:dyDescent="0.25">
      <c r="A155" s="29" t="s">
        <v>98</v>
      </c>
      <c r="B155" s="11"/>
      <c r="C155" s="12">
        <v>46146</v>
      </c>
      <c r="D155" s="12">
        <v>46150</v>
      </c>
      <c r="E155" s="23">
        <v>0</v>
      </c>
      <c r="F155" s="24">
        <v>0</v>
      </c>
    </row>
    <row r="156" spans="1:6" x14ac:dyDescent="0.25">
      <c r="A156" s="29" t="s">
        <v>99</v>
      </c>
      <c r="B156" s="11"/>
      <c r="C156" s="12">
        <v>46148</v>
      </c>
      <c r="D156" s="12">
        <v>46157</v>
      </c>
      <c r="E156" s="23">
        <v>0</v>
      </c>
      <c r="F156" s="24">
        <v>0</v>
      </c>
    </row>
    <row r="157" spans="1:6" x14ac:dyDescent="0.25">
      <c r="A157" s="26" t="s">
        <v>62</v>
      </c>
      <c r="B157" s="11"/>
      <c r="C157" s="12">
        <v>46148</v>
      </c>
      <c r="D157" s="12">
        <v>46150</v>
      </c>
      <c r="E157" s="23">
        <v>0</v>
      </c>
      <c r="F157" s="24">
        <v>0</v>
      </c>
    </row>
    <row r="158" spans="1:6" x14ac:dyDescent="0.25">
      <c r="A158" s="26" t="s">
        <v>63</v>
      </c>
      <c r="B158" s="11"/>
      <c r="C158" s="12">
        <v>46153</v>
      </c>
      <c r="D158" s="12">
        <v>46155</v>
      </c>
      <c r="E158" s="23">
        <v>0</v>
      </c>
      <c r="F158" s="24">
        <v>0</v>
      </c>
    </row>
    <row r="159" spans="1:6" x14ac:dyDescent="0.25">
      <c r="A159" s="26" t="s">
        <v>64</v>
      </c>
      <c r="B159" s="11"/>
      <c r="C159" s="12">
        <v>46148</v>
      </c>
      <c r="D159" s="12">
        <v>46157</v>
      </c>
      <c r="E159" s="23">
        <v>0</v>
      </c>
      <c r="F159" s="24">
        <v>0</v>
      </c>
    </row>
    <row r="160" spans="1:6" x14ac:dyDescent="0.25">
      <c r="A160" s="26" t="s">
        <v>65</v>
      </c>
      <c r="B160" s="11"/>
      <c r="C160" s="12">
        <v>46157</v>
      </c>
      <c r="D160" s="12">
        <v>46157</v>
      </c>
      <c r="E160" s="23">
        <v>0</v>
      </c>
      <c r="F160" s="24">
        <v>0</v>
      </c>
    </row>
    <row r="161" spans="1:6" x14ac:dyDescent="0.25">
      <c r="A161" s="29" t="s">
        <v>100</v>
      </c>
      <c r="B161" s="11"/>
      <c r="C161" s="12">
        <v>46146</v>
      </c>
      <c r="D161" s="12">
        <v>46150</v>
      </c>
      <c r="E161" s="23">
        <v>0</v>
      </c>
      <c r="F161" s="24">
        <v>0</v>
      </c>
    </row>
    <row r="162" spans="1:6" x14ac:dyDescent="0.25">
      <c r="A162" s="29" t="s">
        <v>101</v>
      </c>
      <c r="B162" s="11"/>
      <c r="C162" s="12">
        <v>46148</v>
      </c>
      <c r="D162" s="12">
        <v>46157</v>
      </c>
      <c r="E162" s="23">
        <v>0</v>
      </c>
      <c r="F162" s="24">
        <v>0</v>
      </c>
    </row>
    <row r="163" spans="1:6" x14ac:dyDescent="0.25">
      <c r="A163" s="26" t="s">
        <v>62</v>
      </c>
      <c r="B163" s="11"/>
      <c r="C163" s="12">
        <v>46148</v>
      </c>
      <c r="D163" s="12">
        <v>46150</v>
      </c>
      <c r="E163" s="23">
        <v>0</v>
      </c>
      <c r="F163" s="24">
        <v>0</v>
      </c>
    </row>
    <row r="164" spans="1:6" x14ac:dyDescent="0.25">
      <c r="A164" s="26" t="s">
        <v>63</v>
      </c>
      <c r="B164" s="11"/>
      <c r="C164" s="12">
        <v>46153</v>
      </c>
      <c r="D164" s="12">
        <v>46155</v>
      </c>
      <c r="E164" s="23">
        <v>0</v>
      </c>
      <c r="F164" s="24">
        <v>0</v>
      </c>
    </row>
    <row r="165" spans="1:6" x14ac:dyDescent="0.25">
      <c r="A165" s="26" t="s">
        <v>64</v>
      </c>
      <c r="B165" s="11"/>
      <c r="C165" s="12">
        <v>46148</v>
      </c>
      <c r="D165" s="12">
        <v>46157</v>
      </c>
      <c r="E165" s="23">
        <v>0</v>
      </c>
      <c r="F165" s="24">
        <v>0</v>
      </c>
    </row>
    <row r="166" spans="1:6" s="41" customFormat="1" x14ac:dyDescent="0.25">
      <c r="A166" s="32" t="s">
        <v>65</v>
      </c>
      <c r="B166" s="33"/>
      <c r="C166" s="34">
        <v>46157</v>
      </c>
      <c r="D166" s="34">
        <v>46157</v>
      </c>
      <c r="E166" s="35">
        <v>0</v>
      </c>
      <c r="F166" s="36">
        <v>0</v>
      </c>
    </row>
    <row r="167" spans="1:6" x14ac:dyDescent="0.25">
      <c r="A167" s="37" t="s">
        <v>102</v>
      </c>
      <c r="B167" s="38"/>
      <c r="C167" s="39"/>
      <c r="D167" s="39"/>
      <c r="E167" s="49"/>
      <c r="F167" s="50"/>
    </row>
    <row r="168" spans="1:6" x14ac:dyDescent="0.25">
      <c r="A168" s="30" t="s">
        <v>103</v>
      </c>
      <c r="B168" s="11"/>
      <c r="C168" s="12">
        <v>46132</v>
      </c>
      <c r="D168" s="48">
        <v>46136</v>
      </c>
      <c r="E168" s="46">
        <v>1</v>
      </c>
      <c r="F168" s="47">
        <v>1</v>
      </c>
    </row>
    <row r="169" spans="1:6" x14ac:dyDescent="0.25">
      <c r="A169" s="30" t="s">
        <v>104</v>
      </c>
      <c r="B169" s="11"/>
      <c r="C169" s="31">
        <v>46134</v>
      </c>
      <c r="D169" s="31">
        <v>46142</v>
      </c>
      <c r="E169" s="46">
        <v>1</v>
      </c>
      <c r="F169" s="47">
        <v>1</v>
      </c>
    </row>
    <row r="170" spans="1:6" x14ac:dyDescent="0.25">
      <c r="A170" s="30" t="s">
        <v>105</v>
      </c>
      <c r="B170" s="11"/>
      <c r="C170" s="12">
        <v>46142</v>
      </c>
      <c r="D170" s="48">
        <v>46142</v>
      </c>
      <c r="E170" s="46">
        <v>1</v>
      </c>
      <c r="F170" s="47">
        <v>1</v>
      </c>
    </row>
    <row r="171" spans="1:6" x14ac:dyDescent="0.25">
      <c r="A171" s="30" t="s">
        <v>106</v>
      </c>
      <c r="C171" s="12">
        <v>46132</v>
      </c>
      <c r="D171" s="48">
        <v>46136</v>
      </c>
      <c r="E171" s="46">
        <v>1</v>
      </c>
      <c r="F171" s="47">
        <v>1</v>
      </c>
    </row>
    <row r="172" spans="1:6" x14ac:dyDescent="0.25">
      <c r="A172" s="30" t="s">
        <v>107</v>
      </c>
      <c r="C172" s="31">
        <v>46134</v>
      </c>
      <c r="D172" s="31">
        <v>46142</v>
      </c>
      <c r="E172" s="51">
        <v>0</v>
      </c>
      <c r="F172" s="51">
        <v>0</v>
      </c>
    </row>
    <row r="173" spans="1:6" x14ac:dyDescent="0.25">
      <c r="A173" s="30" t="s">
        <v>108</v>
      </c>
      <c r="C173" s="12">
        <v>46142</v>
      </c>
      <c r="D173" s="12">
        <v>46142</v>
      </c>
      <c r="E173" s="51">
        <v>0</v>
      </c>
      <c r="F173" s="51">
        <v>0</v>
      </c>
    </row>
    <row r="174" spans="1:6" x14ac:dyDescent="0.25">
      <c r="A174" s="30" t="s">
        <v>109</v>
      </c>
      <c r="C174" s="12">
        <v>46132</v>
      </c>
      <c r="D174" s="12">
        <v>46136</v>
      </c>
      <c r="E174" s="46">
        <v>1</v>
      </c>
      <c r="F174" s="47">
        <v>1</v>
      </c>
    </row>
    <row r="175" spans="1:6" x14ac:dyDescent="0.25">
      <c r="A175" s="30" t="s">
        <v>110</v>
      </c>
      <c r="C175" s="31">
        <v>46134</v>
      </c>
      <c r="D175" s="31">
        <v>46142</v>
      </c>
      <c r="E175" s="51">
        <v>0</v>
      </c>
      <c r="F175" s="51">
        <v>0</v>
      </c>
    </row>
    <row r="176" spans="1:6" x14ac:dyDescent="0.25">
      <c r="A176" s="30" t="s">
        <v>111</v>
      </c>
      <c r="C176" s="12">
        <v>46142</v>
      </c>
      <c r="D176" s="12">
        <v>46142</v>
      </c>
      <c r="E176" s="51">
        <v>0</v>
      </c>
      <c r="F176" s="51">
        <v>0</v>
      </c>
    </row>
    <row r="177" spans="1:6" x14ac:dyDescent="0.25">
      <c r="A177" s="30" t="s">
        <v>112</v>
      </c>
      <c r="C177" s="12">
        <v>46132</v>
      </c>
      <c r="D177" s="12">
        <v>46136</v>
      </c>
      <c r="E177" s="51">
        <v>0</v>
      </c>
      <c r="F177" s="51">
        <v>0</v>
      </c>
    </row>
    <row r="178" spans="1:6" x14ac:dyDescent="0.25">
      <c r="A178" s="30" t="s">
        <v>113</v>
      </c>
      <c r="C178" s="31">
        <v>46134</v>
      </c>
      <c r="D178" s="31">
        <v>46142</v>
      </c>
      <c r="E178" s="51">
        <v>0</v>
      </c>
      <c r="F178" s="51">
        <v>0</v>
      </c>
    </row>
    <row r="179" spans="1:6" x14ac:dyDescent="0.25">
      <c r="A179" s="30" t="s">
        <v>114</v>
      </c>
      <c r="C179" s="12">
        <v>46142</v>
      </c>
      <c r="D179" s="12">
        <v>46142</v>
      </c>
      <c r="E179" s="51">
        <v>0</v>
      </c>
      <c r="F179" s="51">
        <v>0</v>
      </c>
    </row>
    <row r="180" spans="1:6" x14ac:dyDescent="0.25">
      <c r="A180" s="30" t="s">
        <v>115</v>
      </c>
      <c r="C180" s="12">
        <v>46132</v>
      </c>
      <c r="D180" s="12">
        <v>46136</v>
      </c>
      <c r="E180" s="46">
        <v>1</v>
      </c>
      <c r="F180" s="47">
        <v>1</v>
      </c>
    </row>
    <row r="181" spans="1:6" x14ac:dyDescent="0.25">
      <c r="A181" s="30" t="s">
        <v>116</v>
      </c>
      <c r="C181" s="31">
        <v>46134</v>
      </c>
      <c r="D181" s="31">
        <v>46142</v>
      </c>
      <c r="E181" s="51">
        <v>0</v>
      </c>
      <c r="F181" s="51">
        <v>0</v>
      </c>
    </row>
    <row r="182" spans="1:6" x14ac:dyDescent="0.25">
      <c r="A182" s="30" t="s">
        <v>117</v>
      </c>
      <c r="C182" s="12">
        <v>46142</v>
      </c>
      <c r="D182" s="12">
        <v>46142</v>
      </c>
      <c r="E182" s="51">
        <v>0</v>
      </c>
      <c r="F182" s="51">
        <v>0</v>
      </c>
    </row>
    <row r="183" spans="1:6" x14ac:dyDescent="0.25">
      <c r="A183" s="30" t="s">
        <v>118</v>
      </c>
      <c r="C183" s="12">
        <v>46132</v>
      </c>
      <c r="D183" s="12">
        <v>46136</v>
      </c>
      <c r="E183" s="46">
        <v>1</v>
      </c>
      <c r="F183" s="47">
        <v>1</v>
      </c>
    </row>
    <row r="184" spans="1:6" x14ac:dyDescent="0.25">
      <c r="A184" s="30" t="s">
        <v>119</v>
      </c>
      <c r="C184" s="31">
        <v>46134</v>
      </c>
      <c r="D184" s="31">
        <v>46142</v>
      </c>
      <c r="E184" s="46">
        <v>1</v>
      </c>
      <c r="F184" s="47">
        <v>1</v>
      </c>
    </row>
    <row r="185" spans="1:6" x14ac:dyDescent="0.25">
      <c r="A185" s="30" t="s">
        <v>120</v>
      </c>
      <c r="C185" s="12">
        <v>46142</v>
      </c>
      <c r="D185" s="12">
        <v>46142</v>
      </c>
      <c r="E185" s="51">
        <v>0</v>
      </c>
      <c r="F185" s="51">
        <v>0</v>
      </c>
    </row>
    <row r="186" spans="1:6" x14ac:dyDescent="0.25">
      <c r="A186" s="30" t="s">
        <v>121</v>
      </c>
      <c r="C186" s="12">
        <v>46132</v>
      </c>
      <c r="D186" s="12">
        <v>46136</v>
      </c>
      <c r="E186" s="46">
        <v>1</v>
      </c>
      <c r="F186" s="47">
        <v>1</v>
      </c>
    </row>
    <row r="187" spans="1:6" x14ac:dyDescent="0.25">
      <c r="A187" s="30" t="s">
        <v>122</v>
      </c>
      <c r="C187" s="31">
        <v>46134</v>
      </c>
      <c r="D187" s="31">
        <v>46142</v>
      </c>
      <c r="E187" s="46">
        <v>1</v>
      </c>
      <c r="F187" s="47">
        <v>1</v>
      </c>
    </row>
    <row r="188" spans="1:6" x14ac:dyDescent="0.25">
      <c r="A188" s="30" t="s">
        <v>123</v>
      </c>
      <c r="C188" s="12">
        <v>46142</v>
      </c>
      <c r="D188" s="12">
        <v>46142</v>
      </c>
      <c r="E188" s="46">
        <v>1</v>
      </c>
      <c r="F188" s="47">
        <v>1</v>
      </c>
    </row>
    <row r="189" spans="1:6" x14ac:dyDescent="0.25">
      <c r="A189" s="30" t="s">
        <v>124</v>
      </c>
      <c r="C189" s="12">
        <v>46139</v>
      </c>
      <c r="D189" s="12">
        <v>46142</v>
      </c>
      <c r="E189" s="51">
        <v>0</v>
      </c>
      <c r="F189" s="51">
        <v>0</v>
      </c>
    </row>
    <row r="190" spans="1:6" x14ac:dyDescent="0.25">
      <c r="A190" s="30" t="s">
        <v>125</v>
      </c>
      <c r="C190" s="31">
        <v>46141</v>
      </c>
      <c r="D190" s="31">
        <v>46150</v>
      </c>
      <c r="E190" s="51">
        <v>0</v>
      </c>
      <c r="F190" s="51">
        <v>0</v>
      </c>
    </row>
    <row r="191" spans="1:6" x14ac:dyDescent="0.25">
      <c r="A191" s="30" t="s">
        <v>126</v>
      </c>
      <c r="C191" s="12">
        <v>46150</v>
      </c>
      <c r="D191" s="12">
        <v>46150</v>
      </c>
      <c r="E191" s="51">
        <v>0</v>
      </c>
      <c r="F191" s="51">
        <v>0</v>
      </c>
    </row>
    <row r="192" spans="1:6" x14ac:dyDescent="0.25">
      <c r="A192" s="30" t="s">
        <v>124</v>
      </c>
      <c r="C192" s="12">
        <v>46139</v>
      </c>
      <c r="D192" s="12">
        <v>46142</v>
      </c>
      <c r="E192" s="51">
        <v>0</v>
      </c>
      <c r="F192" s="51">
        <v>0</v>
      </c>
    </row>
    <row r="193" spans="1:6" x14ac:dyDescent="0.25">
      <c r="A193" s="30" t="s">
        <v>125</v>
      </c>
      <c r="C193" s="31">
        <v>46141</v>
      </c>
      <c r="D193" s="31">
        <v>46150</v>
      </c>
      <c r="E193" s="51">
        <v>0</v>
      </c>
      <c r="F193" s="51">
        <v>0</v>
      </c>
    </row>
    <row r="194" spans="1:6" x14ac:dyDescent="0.25">
      <c r="A194" s="30" t="s">
        <v>126</v>
      </c>
      <c r="C194" s="12">
        <v>46150</v>
      </c>
      <c r="D194" s="12">
        <v>46150</v>
      </c>
      <c r="E194" s="51">
        <v>0</v>
      </c>
      <c r="F194" s="51">
        <v>0</v>
      </c>
    </row>
    <row r="195" spans="1:6" x14ac:dyDescent="0.25">
      <c r="A195" s="30" t="s">
        <v>127</v>
      </c>
      <c r="C195" s="12">
        <v>46139</v>
      </c>
      <c r="D195" s="12">
        <v>46142</v>
      </c>
      <c r="E195" s="51">
        <v>0</v>
      </c>
      <c r="F195" s="51">
        <v>0</v>
      </c>
    </row>
    <row r="196" spans="1:6" x14ac:dyDescent="0.25">
      <c r="A196" s="30" t="s">
        <v>128</v>
      </c>
      <c r="C196" s="31">
        <v>46141</v>
      </c>
      <c r="D196" s="31">
        <v>46150</v>
      </c>
      <c r="E196" s="51">
        <v>0</v>
      </c>
      <c r="F196" s="51">
        <v>0</v>
      </c>
    </row>
    <row r="197" spans="1:6" x14ac:dyDescent="0.25">
      <c r="A197" s="30" t="s">
        <v>129</v>
      </c>
      <c r="C197" s="12">
        <v>46150</v>
      </c>
      <c r="D197" s="12">
        <v>46150</v>
      </c>
      <c r="E197" s="51">
        <v>0</v>
      </c>
      <c r="F197" s="51">
        <v>0</v>
      </c>
    </row>
    <row r="198" spans="1:6" x14ac:dyDescent="0.25">
      <c r="A198" s="30" t="s">
        <v>130</v>
      </c>
      <c r="C198" s="12">
        <v>46139</v>
      </c>
      <c r="D198" s="12">
        <v>46142</v>
      </c>
      <c r="E198" s="51">
        <v>0</v>
      </c>
      <c r="F198" s="51">
        <v>0</v>
      </c>
    </row>
    <row r="199" spans="1:6" x14ac:dyDescent="0.25">
      <c r="A199" s="30" t="s">
        <v>131</v>
      </c>
      <c r="C199" s="31">
        <v>46141</v>
      </c>
      <c r="D199" s="31">
        <v>46150</v>
      </c>
      <c r="E199" s="51">
        <v>0</v>
      </c>
      <c r="F199" s="51">
        <v>0</v>
      </c>
    </row>
    <row r="200" spans="1:6" x14ac:dyDescent="0.25">
      <c r="A200" s="30" t="s">
        <v>132</v>
      </c>
      <c r="C200" s="12">
        <v>46150</v>
      </c>
      <c r="D200" s="12">
        <v>46150</v>
      </c>
      <c r="E200" s="51">
        <v>0</v>
      </c>
      <c r="F200" s="51">
        <v>0</v>
      </c>
    </row>
    <row r="201" spans="1:6" x14ac:dyDescent="0.25">
      <c r="A201" s="30" t="s">
        <v>133</v>
      </c>
      <c r="C201" s="12">
        <v>46139</v>
      </c>
      <c r="D201" s="12">
        <v>46142</v>
      </c>
      <c r="E201" s="51">
        <v>0</v>
      </c>
      <c r="F201" s="51">
        <v>0</v>
      </c>
    </row>
    <row r="202" spans="1:6" x14ac:dyDescent="0.25">
      <c r="A202" s="30" t="s">
        <v>134</v>
      </c>
      <c r="C202" s="31">
        <v>46141</v>
      </c>
      <c r="D202" s="31">
        <v>46150</v>
      </c>
      <c r="E202" s="51">
        <v>0</v>
      </c>
      <c r="F202" s="51">
        <v>0</v>
      </c>
    </row>
    <row r="203" spans="1:6" s="41" customFormat="1" x14ac:dyDescent="0.25">
      <c r="A203" s="40" t="s">
        <v>135</v>
      </c>
      <c r="C203" s="34">
        <v>46150</v>
      </c>
      <c r="D203" s="34">
        <v>46150</v>
      </c>
      <c r="E203" s="52">
        <v>0</v>
      </c>
      <c r="F203" s="52">
        <v>0</v>
      </c>
    </row>
    <row r="204" spans="1:6" x14ac:dyDescent="0.25">
      <c r="A204" s="37" t="s">
        <v>136</v>
      </c>
      <c r="C204" s="39"/>
      <c r="D204" s="39"/>
    </row>
    <row r="205" spans="1:6" x14ac:dyDescent="0.25">
      <c r="A205" s="30" t="s">
        <v>137</v>
      </c>
      <c r="C205" s="12">
        <v>46146</v>
      </c>
      <c r="D205" s="48">
        <v>46150</v>
      </c>
      <c r="E205" s="51">
        <v>0</v>
      </c>
      <c r="F205" s="51">
        <v>0</v>
      </c>
    </row>
    <row r="206" spans="1:6" x14ac:dyDescent="0.25">
      <c r="A206" s="30" t="s">
        <v>138</v>
      </c>
      <c r="C206" s="12">
        <v>46148</v>
      </c>
      <c r="D206" s="48">
        <v>46157</v>
      </c>
      <c r="E206" s="51">
        <v>0</v>
      </c>
      <c r="F206" s="51">
        <v>0</v>
      </c>
    </row>
    <row r="207" spans="1:6" x14ac:dyDescent="0.25">
      <c r="A207" s="30" t="s">
        <v>139</v>
      </c>
      <c r="C207" s="12">
        <v>46157</v>
      </c>
      <c r="D207" s="48">
        <v>46157</v>
      </c>
      <c r="E207" s="51">
        <v>0</v>
      </c>
      <c r="F207" s="51">
        <v>0</v>
      </c>
    </row>
    <row r="208" spans="1:6" x14ac:dyDescent="0.25">
      <c r="A208" s="30" t="s">
        <v>140</v>
      </c>
      <c r="C208" s="12">
        <v>46146</v>
      </c>
      <c r="D208" s="12">
        <v>46150</v>
      </c>
      <c r="E208" s="51">
        <v>0</v>
      </c>
      <c r="F208" s="51">
        <v>0</v>
      </c>
    </row>
    <row r="209" spans="1:6" x14ac:dyDescent="0.25">
      <c r="A209" s="30" t="s">
        <v>141</v>
      </c>
      <c r="C209" s="12">
        <v>46148</v>
      </c>
      <c r="D209" s="12">
        <v>46157</v>
      </c>
      <c r="E209" s="51">
        <v>0</v>
      </c>
      <c r="F209" s="51">
        <v>0</v>
      </c>
    </row>
    <row r="210" spans="1:6" x14ac:dyDescent="0.25">
      <c r="A210" s="30" t="s">
        <v>142</v>
      </c>
      <c r="C210" s="12">
        <v>46157</v>
      </c>
      <c r="D210" s="12">
        <v>46157</v>
      </c>
      <c r="E210" s="51">
        <v>0</v>
      </c>
      <c r="F210" s="51">
        <v>0</v>
      </c>
    </row>
    <row r="211" spans="1:6" x14ac:dyDescent="0.25">
      <c r="A211" s="30" t="s">
        <v>143</v>
      </c>
      <c r="C211" s="12">
        <v>46146</v>
      </c>
      <c r="D211" s="12">
        <v>46150</v>
      </c>
      <c r="E211" s="51">
        <v>0</v>
      </c>
      <c r="F211" s="51">
        <v>0</v>
      </c>
    </row>
    <row r="212" spans="1:6" x14ac:dyDescent="0.25">
      <c r="A212" s="42" t="s">
        <v>144</v>
      </c>
      <c r="C212" s="12">
        <v>46148</v>
      </c>
      <c r="D212" s="12">
        <v>46157</v>
      </c>
      <c r="E212" s="51">
        <v>0</v>
      </c>
      <c r="F212" s="51">
        <v>0</v>
      </c>
    </row>
    <row r="213" spans="1:6" x14ac:dyDescent="0.25">
      <c r="A213" s="43" t="s">
        <v>145</v>
      </c>
      <c r="C213" s="12">
        <v>46157</v>
      </c>
      <c r="D213" s="12">
        <v>46157</v>
      </c>
      <c r="E213" s="51">
        <v>0</v>
      </c>
      <c r="F213" s="51">
        <v>0</v>
      </c>
    </row>
    <row r="214" spans="1:6" x14ac:dyDescent="0.25">
      <c r="A214" s="44" t="s">
        <v>146</v>
      </c>
      <c r="C214" s="12">
        <v>46146</v>
      </c>
      <c r="D214" s="12">
        <v>46150</v>
      </c>
      <c r="E214" s="51">
        <v>0</v>
      </c>
      <c r="F214" s="51">
        <v>0</v>
      </c>
    </row>
    <row r="215" spans="1:6" x14ac:dyDescent="0.25">
      <c r="A215" s="30" t="s">
        <v>147</v>
      </c>
      <c r="C215" s="12">
        <v>46148</v>
      </c>
      <c r="D215" s="12">
        <v>46157</v>
      </c>
      <c r="E215" s="51">
        <v>0</v>
      </c>
      <c r="F215" s="51">
        <v>0</v>
      </c>
    </row>
    <row r="216" spans="1:6" x14ac:dyDescent="0.25">
      <c r="A216" s="30" t="s">
        <v>148</v>
      </c>
      <c r="C216" s="12">
        <v>46157</v>
      </c>
      <c r="D216" s="12">
        <v>46157</v>
      </c>
      <c r="E216" s="51">
        <v>0</v>
      </c>
      <c r="F216" s="51">
        <v>0</v>
      </c>
    </row>
    <row r="217" spans="1:6" x14ac:dyDescent="0.25">
      <c r="A217" s="30" t="s">
        <v>149</v>
      </c>
      <c r="C217" s="12">
        <v>46153</v>
      </c>
      <c r="D217" s="12">
        <v>46157</v>
      </c>
      <c r="E217" s="51">
        <v>0</v>
      </c>
      <c r="F217" s="51">
        <v>0</v>
      </c>
    </row>
    <row r="218" spans="1:6" x14ac:dyDescent="0.25">
      <c r="A218" s="30" t="s">
        <v>150</v>
      </c>
      <c r="C218" s="12">
        <v>46155</v>
      </c>
      <c r="D218" s="12">
        <v>46164</v>
      </c>
      <c r="E218" s="51">
        <v>0</v>
      </c>
      <c r="F218" s="51">
        <v>0</v>
      </c>
    </row>
    <row r="219" spans="1:6" x14ac:dyDescent="0.25">
      <c r="A219" s="30" t="s">
        <v>151</v>
      </c>
      <c r="C219" s="12">
        <v>46164</v>
      </c>
      <c r="D219" s="12">
        <v>46164</v>
      </c>
      <c r="E219" s="51">
        <v>0</v>
      </c>
      <c r="F219" s="51">
        <v>0</v>
      </c>
    </row>
    <row r="220" spans="1:6" x14ac:dyDescent="0.25">
      <c r="A220" s="30" t="s">
        <v>152</v>
      </c>
      <c r="C220" s="12">
        <v>46160</v>
      </c>
      <c r="D220" s="12">
        <v>46164</v>
      </c>
      <c r="E220" s="51">
        <v>0</v>
      </c>
      <c r="F220" s="51">
        <v>0</v>
      </c>
    </row>
    <row r="221" spans="1:6" x14ac:dyDescent="0.25">
      <c r="A221" s="42" t="s">
        <v>153</v>
      </c>
      <c r="C221" s="12">
        <v>46164</v>
      </c>
      <c r="D221" s="12">
        <v>46174</v>
      </c>
      <c r="E221" s="51">
        <v>0</v>
      </c>
      <c r="F221" s="51">
        <v>0</v>
      </c>
    </row>
    <row r="222" spans="1:6" x14ac:dyDescent="0.25">
      <c r="A222" s="43" t="s">
        <v>154</v>
      </c>
      <c r="C222" s="12">
        <v>46174</v>
      </c>
      <c r="D222" s="12">
        <v>46174</v>
      </c>
      <c r="E222" s="51">
        <v>0</v>
      </c>
      <c r="F222" s="51">
        <v>0</v>
      </c>
    </row>
    <row r="223" spans="1:6" x14ac:dyDescent="0.25">
      <c r="A223" s="44" t="s">
        <v>155</v>
      </c>
      <c r="C223" s="12">
        <v>46167</v>
      </c>
      <c r="D223" s="12">
        <v>46171</v>
      </c>
      <c r="E223" s="51">
        <v>0</v>
      </c>
      <c r="F223" s="51">
        <v>0</v>
      </c>
    </row>
    <row r="224" spans="1:6" x14ac:dyDescent="0.25">
      <c r="A224" s="30" t="s">
        <v>156</v>
      </c>
      <c r="C224" s="12">
        <v>46169</v>
      </c>
      <c r="D224" s="12">
        <v>46178</v>
      </c>
      <c r="E224" s="51">
        <v>0</v>
      </c>
      <c r="F224" s="51">
        <v>0</v>
      </c>
    </row>
    <row r="225" spans="1:6" x14ac:dyDescent="0.25">
      <c r="A225" s="30" t="s">
        <v>157</v>
      </c>
      <c r="C225" s="12">
        <v>46178</v>
      </c>
      <c r="D225" s="12">
        <v>46178</v>
      </c>
      <c r="E225" s="51">
        <v>0</v>
      </c>
      <c r="F225" s="51">
        <v>0</v>
      </c>
    </row>
    <row r="226" spans="1:6" x14ac:dyDescent="0.25">
      <c r="A226" s="44" t="s">
        <v>158</v>
      </c>
      <c r="C226" s="12">
        <v>46167</v>
      </c>
      <c r="D226" s="12">
        <v>46171</v>
      </c>
      <c r="E226" s="51">
        <v>0</v>
      </c>
      <c r="F226" s="51">
        <v>0</v>
      </c>
    </row>
    <row r="227" spans="1:6" x14ac:dyDescent="0.25">
      <c r="A227" s="30" t="s">
        <v>159</v>
      </c>
      <c r="C227" s="12">
        <v>46169</v>
      </c>
      <c r="D227" s="12">
        <v>46178</v>
      </c>
      <c r="E227" s="51">
        <v>0</v>
      </c>
      <c r="F227" s="51">
        <v>0</v>
      </c>
    </row>
    <row r="228" spans="1:6" x14ac:dyDescent="0.25">
      <c r="A228" s="30" t="s">
        <v>160</v>
      </c>
      <c r="C228" s="12">
        <v>46178</v>
      </c>
      <c r="D228" s="12">
        <v>46178</v>
      </c>
      <c r="E228" s="51">
        <v>0</v>
      </c>
      <c r="F228" s="51">
        <v>0</v>
      </c>
    </row>
    <row r="229" spans="1:6" x14ac:dyDescent="0.25">
      <c r="A229" s="44" t="s">
        <v>161</v>
      </c>
      <c r="C229" s="12">
        <v>46167</v>
      </c>
      <c r="D229" s="12">
        <v>46171</v>
      </c>
      <c r="E229" s="51">
        <v>0</v>
      </c>
      <c r="F229" s="51">
        <v>0</v>
      </c>
    </row>
    <row r="230" spans="1:6" x14ac:dyDescent="0.25">
      <c r="A230" s="30" t="s">
        <v>162</v>
      </c>
      <c r="C230" s="12">
        <v>46169</v>
      </c>
      <c r="D230" s="12">
        <v>46178</v>
      </c>
      <c r="E230" s="51">
        <v>0</v>
      </c>
      <c r="F230" s="51">
        <v>0</v>
      </c>
    </row>
    <row r="231" spans="1:6" x14ac:dyDescent="0.25">
      <c r="A231" s="30" t="s">
        <v>163</v>
      </c>
      <c r="C231" s="12">
        <v>46178</v>
      </c>
      <c r="D231" s="12">
        <v>46178</v>
      </c>
      <c r="E231" s="51">
        <v>0</v>
      </c>
      <c r="F231" s="51">
        <v>0</v>
      </c>
    </row>
    <row r="232" spans="1:6" x14ac:dyDescent="0.25">
      <c r="A232" s="44" t="s">
        <v>164</v>
      </c>
      <c r="C232" s="12">
        <v>46174</v>
      </c>
      <c r="D232" s="12">
        <v>46178</v>
      </c>
      <c r="E232" s="51">
        <v>0</v>
      </c>
      <c r="F232" s="51">
        <v>0</v>
      </c>
    </row>
    <row r="233" spans="1:6" x14ac:dyDescent="0.25">
      <c r="A233" s="30" t="s">
        <v>165</v>
      </c>
      <c r="C233" s="12">
        <v>46176</v>
      </c>
      <c r="D233" s="12">
        <v>46185</v>
      </c>
      <c r="E233" s="51">
        <v>0</v>
      </c>
      <c r="F233" s="51">
        <v>0</v>
      </c>
    </row>
    <row r="234" spans="1:6" x14ac:dyDescent="0.25">
      <c r="A234" s="30" t="s">
        <v>166</v>
      </c>
      <c r="C234" s="12">
        <v>46185</v>
      </c>
      <c r="D234" s="12">
        <v>46185</v>
      </c>
      <c r="E234" s="51">
        <v>0</v>
      </c>
      <c r="F234" s="51">
        <v>0</v>
      </c>
    </row>
    <row r="235" spans="1:6" x14ac:dyDescent="0.25">
      <c r="A235" s="45" t="s">
        <v>167</v>
      </c>
      <c r="C235" s="12">
        <v>46174</v>
      </c>
      <c r="D235" s="12">
        <v>46178</v>
      </c>
      <c r="E235" s="51">
        <v>0</v>
      </c>
      <c r="F235" s="51">
        <v>0</v>
      </c>
    </row>
    <row r="236" spans="1:6" x14ac:dyDescent="0.25">
      <c r="A236" s="45" t="s">
        <v>168</v>
      </c>
      <c r="C236" s="12">
        <v>46176</v>
      </c>
      <c r="D236" s="12">
        <v>46185</v>
      </c>
      <c r="E236" s="51">
        <v>0</v>
      </c>
      <c r="F236" s="51">
        <v>0</v>
      </c>
    </row>
    <row r="237" spans="1:6" x14ac:dyDescent="0.25">
      <c r="A237" s="45" t="s">
        <v>169</v>
      </c>
      <c r="C237" s="12">
        <v>46185</v>
      </c>
      <c r="D237" s="12">
        <v>46185</v>
      </c>
      <c r="E237" s="51">
        <v>0</v>
      </c>
      <c r="F237" s="51">
        <v>0</v>
      </c>
    </row>
    <row r="238" spans="1:6" x14ac:dyDescent="0.25">
      <c r="A238" s="45" t="s">
        <v>170</v>
      </c>
      <c r="C238" s="12">
        <v>46174</v>
      </c>
      <c r="D238" s="12">
        <v>46178</v>
      </c>
      <c r="E238" s="51">
        <v>0</v>
      </c>
      <c r="F238" s="51">
        <v>0</v>
      </c>
    </row>
    <row r="239" spans="1:6" x14ac:dyDescent="0.25">
      <c r="A239" s="45" t="s">
        <v>171</v>
      </c>
      <c r="C239" s="12">
        <v>46176</v>
      </c>
      <c r="D239" s="12">
        <v>46185</v>
      </c>
      <c r="E239" s="51">
        <v>0</v>
      </c>
      <c r="F239" s="51">
        <v>0</v>
      </c>
    </row>
    <row r="240" spans="1:6" x14ac:dyDescent="0.25">
      <c r="A240" s="45" t="s">
        <v>172</v>
      </c>
      <c r="C240" s="12">
        <v>46185</v>
      </c>
      <c r="D240" s="12">
        <v>46185</v>
      </c>
      <c r="E240" s="51">
        <v>0</v>
      </c>
      <c r="F240" s="51">
        <v>0</v>
      </c>
    </row>
    <row r="241" spans="1:6" x14ac:dyDescent="0.25">
      <c r="A241" s="45" t="s">
        <v>170</v>
      </c>
      <c r="C241" s="12">
        <v>46174</v>
      </c>
      <c r="D241" s="12">
        <v>46178</v>
      </c>
      <c r="E241" s="51">
        <v>0</v>
      </c>
      <c r="F241" s="51">
        <v>0</v>
      </c>
    </row>
    <row r="242" spans="1:6" x14ac:dyDescent="0.25">
      <c r="A242" s="45" t="s">
        <v>171</v>
      </c>
      <c r="C242" s="12">
        <v>46176</v>
      </c>
      <c r="D242" s="12">
        <v>46185</v>
      </c>
      <c r="E242" s="51">
        <v>0</v>
      </c>
      <c r="F242" s="51">
        <v>0</v>
      </c>
    </row>
    <row r="243" spans="1:6" x14ac:dyDescent="0.25">
      <c r="A243" s="45" t="s">
        <v>172</v>
      </c>
      <c r="C243" s="12">
        <v>46185</v>
      </c>
      <c r="D243" s="12">
        <v>46185</v>
      </c>
      <c r="E243" s="51">
        <v>0</v>
      </c>
      <c r="F243" s="51">
        <v>0</v>
      </c>
    </row>
    <row r="244" spans="1:6" x14ac:dyDescent="0.25">
      <c r="A244" s="45" t="s">
        <v>173</v>
      </c>
      <c r="C244" s="12">
        <v>46174</v>
      </c>
      <c r="D244" s="12">
        <v>46178</v>
      </c>
      <c r="E244" s="51">
        <v>0</v>
      </c>
      <c r="F244" s="51">
        <v>0</v>
      </c>
    </row>
    <row r="245" spans="1:6" x14ac:dyDescent="0.25">
      <c r="A245" s="45" t="s">
        <v>174</v>
      </c>
      <c r="C245" s="12">
        <v>46176</v>
      </c>
      <c r="D245" s="12">
        <v>46185</v>
      </c>
      <c r="E245" s="51">
        <v>0</v>
      </c>
      <c r="F245" s="51">
        <v>0</v>
      </c>
    </row>
    <row r="246" spans="1:6" x14ac:dyDescent="0.25">
      <c r="A246" s="45" t="s">
        <v>175</v>
      </c>
      <c r="C246" s="12">
        <v>46185</v>
      </c>
      <c r="D246" s="12">
        <v>46185</v>
      </c>
      <c r="E246" s="51">
        <v>0</v>
      </c>
      <c r="F246" s="51">
        <v>0</v>
      </c>
    </row>
    <row r="247" spans="1:6" x14ac:dyDescent="0.25">
      <c r="A247" s="45" t="s">
        <v>176</v>
      </c>
      <c r="C247" s="12">
        <v>46174</v>
      </c>
      <c r="D247" s="12">
        <v>46178</v>
      </c>
      <c r="E247" s="51">
        <v>0</v>
      </c>
      <c r="F247" s="51">
        <v>0</v>
      </c>
    </row>
    <row r="248" spans="1:6" x14ac:dyDescent="0.25">
      <c r="A248" s="45" t="s">
        <v>177</v>
      </c>
      <c r="C248" s="12">
        <v>46176</v>
      </c>
      <c r="D248" s="12">
        <v>46185</v>
      </c>
      <c r="E248" s="51">
        <v>0</v>
      </c>
      <c r="F248" s="51">
        <v>0</v>
      </c>
    </row>
    <row r="249" spans="1:6" x14ac:dyDescent="0.25">
      <c r="A249" s="45" t="s">
        <v>178</v>
      </c>
      <c r="C249" s="12">
        <v>46185</v>
      </c>
      <c r="D249" s="12">
        <v>46185</v>
      </c>
      <c r="E249" s="51">
        <v>0</v>
      </c>
      <c r="F249" s="51">
        <v>0</v>
      </c>
    </row>
    <row r="250" spans="1:6" x14ac:dyDescent="0.25">
      <c r="A250" s="10" t="s">
        <v>179</v>
      </c>
      <c r="B250" s="11"/>
      <c r="C250" s="12">
        <v>46188</v>
      </c>
      <c r="D250" s="16">
        <v>46213</v>
      </c>
      <c r="E250" s="23">
        <v>0</v>
      </c>
      <c r="F250" s="24">
        <v>0</v>
      </c>
    </row>
    <row r="251" spans="1:6" x14ac:dyDescent="0.25">
      <c r="A251" s="14" t="s">
        <v>180</v>
      </c>
      <c r="B251" s="15" t="s">
        <v>16</v>
      </c>
      <c r="C251" s="12">
        <v>46188</v>
      </c>
      <c r="D251" s="12">
        <v>46192</v>
      </c>
      <c r="E251" s="23">
        <v>0</v>
      </c>
      <c r="F251" s="24">
        <v>0</v>
      </c>
    </row>
    <row r="252" spans="1:6" x14ac:dyDescent="0.25">
      <c r="A252" s="14" t="s">
        <v>181</v>
      </c>
      <c r="B252" s="15"/>
      <c r="C252" s="16">
        <v>46195</v>
      </c>
      <c r="D252" s="16">
        <v>46213</v>
      </c>
      <c r="E252" s="23">
        <v>0</v>
      </c>
      <c r="F252" s="24">
        <v>0</v>
      </c>
    </row>
    <row r="253" spans="1:6" x14ac:dyDescent="0.25">
      <c r="A253" s="11" t="s">
        <v>182</v>
      </c>
      <c r="B253" s="11"/>
      <c r="C253" s="16">
        <v>46213</v>
      </c>
      <c r="D253" s="16">
        <v>46213</v>
      </c>
      <c r="E253" s="23">
        <v>0</v>
      </c>
      <c r="F253" s="24">
        <v>0</v>
      </c>
    </row>
  </sheetData>
  <mergeCells count="2">
    <mergeCell ref="C1:D1"/>
    <mergeCell ref="E1:F1"/>
  </mergeCells>
  <pageMargins left="0.7" right="0.7" top="0.75" bottom="0.75" header="0.3" footer="0.3"/>
  <ignoredErrors>
    <ignoredError sqref="E84:F84 E108:F108 E102:F102 E96:F96 E78:F78 E72:F72 E66:F66 E126:F126 E138:F1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 Razuri Cairo</dc:creator>
  <cp:lastModifiedBy>Eduardo Andre Razuri Cairo</cp:lastModifiedBy>
  <dcterms:created xsi:type="dcterms:W3CDTF">2026-04-28T16:00:33Z</dcterms:created>
  <dcterms:modified xsi:type="dcterms:W3CDTF">2026-05-11T16:12:43Z</dcterms:modified>
</cp:coreProperties>
</file>